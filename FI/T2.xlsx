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ck\Desktop\school\GRAD\GradSchoolNotes\FI\"/>
    </mc:Choice>
  </mc:AlternateContent>
  <xr:revisionPtr revIDLastSave="0" documentId="13_ncr:1_{7B593413-4F05-4895-ACF9-D1C473683C89}" xr6:coauthVersionLast="47" xr6:coauthVersionMax="47" xr10:uidLastSave="{00000000-0000-0000-0000-000000000000}"/>
  <bookViews>
    <workbookView xWindow="-98" yWindow="-98" windowWidth="22695" windowHeight="14476" activeTab="1" xr2:uid="{2D0D4377-C1B1-4B42-A577-3D8692B0267D}"/>
  </bookViews>
  <sheets>
    <sheet name="Q1 - CALCULATOR" sheetId="4" r:id="rId1"/>
    <sheet name="Q2 - SECURITY T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3" l="1"/>
  <c r="A35" i="3"/>
  <c r="A32" i="3"/>
  <c r="A23" i="3"/>
  <c r="N2" i="3" a="1"/>
  <c r="N2" i="3" s="1"/>
  <c r="A15" i="3"/>
  <c r="M2" i="3" a="1"/>
  <c r="M2" i="3" s="1"/>
  <c r="A18" i="3" s="1"/>
  <c r="A3" i="3"/>
  <c r="A12" i="3" s="1"/>
  <c r="L3" i="3"/>
  <c r="L6" i="3"/>
  <c r="L7" i="3"/>
  <c r="L8" i="3"/>
  <c r="L9" i="3"/>
  <c r="L10" i="3"/>
  <c r="L11" i="3"/>
  <c r="L14" i="3"/>
  <c r="L15" i="3"/>
  <c r="L16" i="3"/>
  <c r="L17" i="3"/>
  <c r="L18" i="3"/>
  <c r="L19" i="3"/>
  <c r="L22" i="3"/>
  <c r="L23" i="3"/>
  <c r="L24" i="3"/>
  <c r="L25" i="3"/>
  <c r="L26" i="3"/>
  <c r="L27" i="3"/>
  <c r="L30" i="3"/>
  <c r="L31" i="3"/>
  <c r="L32" i="3"/>
  <c r="L33" i="3"/>
  <c r="L34" i="3"/>
  <c r="L35" i="3"/>
  <c r="L38" i="3"/>
  <c r="L39" i="3"/>
  <c r="L40" i="3"/>
  <c r="L41" i="3"/>
  <c r="L42" i="3"/>
  <c r="L43" i="3"/>
  <c r="L46" i="3"/>
  <c r="L47" i="3"/>
  <c r="L48" i="3"/>
  <c r="L49" i="3"/>
  <c r="L50" i="3"/>
  <c r="L51" i="3"/>
  <c r="L54" i="3"/>
  <c r="L55" i="3"/>
  <c r="L56" i="3"/>
  <c r="L57" i="3"/>
  <c r="L58" i="3"/>
  <c r="L59" i="3"/>
  <c r="L62" i="3"/>
  <c r="L63" i="3"/>
  <c r="L64" i="3"/>
  <c r="L65" i="3"/>
  <c r="L66" i="3"/>
  <c r="L67" i="3"/>
  <c r="L70" i="3"/>
  <c r="L71" i="3"/>
  <c r="L72" i="3"/>
  <c r="L73" i="3"/>
  <c r="L74" i="3"/>
  <c r="L75" i="3"/>
  <c r="L78" i="3"/>
  <c r="L79" i="3"/>
  <c r="L80" i="3"/>
  <c r="L81" i="3"/>
  <c r="L82" i="3"/>
  <c r="L83" i="3"/>
  <c r="L86" i="3"/>
  <c r="L87" i="3"/>
  <c r="L88" i="3"/>
  <c r="L89" i="3"/>
  <c r="L90" i="3"/>
  <c r="L91" i="3"/>
  <c r="L94" i="3"/>
  <c r="L95" i="3"/>
  <c r="L96" i="3"/>
  <c r="L97" i="3"/>
  <c r="L98" i="3"/>
  <c r="L99" i="3"/>
  <c r="L102" i="3"/>
  <c r="L103" i="3"/>
  <c r="L104" i="3"/>
  <c r="L105" i="3"/>
  <c r="L106" i="3"/>
  <c r="L107" i="3"/>
  <c r="L110" i="3"/>
  <c r="L111" i="3"/>
  <c r="L112" i="3"/>
  <c r="L113" i="3"/>
  <c r="L114" i="3"/>
  <c r="L115" i="3"/>
  <c r="L118" i="3"/>
  <c r="L119" i="3"/>
  <c r="L120" i="3"/>
  <c r="L2" i="3"/>
  <c r="K3" i="3"/>
  <c r="K4" i="3"/>
  <c r="K7" i="3"/>
  <c r="K8" i="3"/>
  <c r="K9" i="3"/>
  <c r="K10" i="3"/>
  <c r="K11" i="3"/>
  <c r="K12" i="3"/>
  <c r="K15" i="3"/>
  <c r="K16" i="3"/>
  <c r="K17" i="3"/>
  <c r="K18" i="3"/>
  <c r="K19" i="3"/>
  <c r="K20" i="3"/>
  <c r="K23" i="3"/>
  <c r="K24" i="3"/>
  <c r="K25" i="3"/>
  <c r="K26" i="3"/>
  <c r="K27" i="3"/>
  <c r="K28" i="3"/>
  <c r="K31" i="3"/>
  <c r="K32" i="3"/>
  <c r="K33" i="3"/>
  <c r="K34" i="3"/>
  <c r="K35" i="3"/>
  <c r="K36" i="3"/>
  <c r="K39" i="3"/>
  <c r="K40" i="3"/>
  <c r="K41" i="3"/>
  <c r="K42" i="3"/>
  <c r="K43" i="3"/>
  <c r="K44" i="3"/>
  <c r="K47" i="3"/>
  <c r="K48" i="3"/>
  <c r="K49" i="3"/>
  <c r="K50" i="3"/>
  <c r="K51" i="3"/>
  <c r="K52" i="3"/>
  <c r="K55" i="3"/>
  <c r="K56" i="3"/>
  <c r="K57" i="3"/>
  <c r="K58" i="3"/>
  <c r="K59" i="3"/>
  <c r="K60" i="3"/>
  <c r="K63" i="3"/>
  <c r="K64" i="3"/>
  <c r="K65" i="3"/>
  <c r="K66" i="3"/>
  <c r="K67" i="3"/>
  <c r="K68" i="3"/>
  <c r="K71" i="3"/>
  <c r="K72" i="3"/>
  <c r="K73" i="3"/>
  <c r="K74" i="3"/>
  <c r="K75" i="3"/>
  <c r="K76" i="3"/>
  <c r="K79" i="3"/>
  <c r="K80" i="3"/>
  <c r="K81" i="3"/>
  <c r="K82" i="3"/>
  <c r="K83" i="3"/>
  <c r="K84" i="3"/>
  <c r="K87" i="3"/>
  <c r="K88" i="3"/>
  <c r="K89" i="3"/>
  <c r="K90" i="3"/>
  <c r="K91" i="3"/>
  <c r="K92" i="3"/>
  <c r="K95" i="3"/>
  <c r="K96" i="3"/>
  <c r="K97" i="3"/>
  <c r="K98" i="3"/>
  <c r="K99" i="3"/>
  <c r="K100" i="3"/>
  <c r="K103" i="3"/>
  <c r="K104" i="3"/>
  <c r="K105" i="3"/>
  <c r="K106" i="3"/>
  <c r="K107" i="3"/>
  <c r="K108" i="3"/>
  <c r="K111" i="3"/>
  <c r="K112" i="3"/>
  <c r="K113" i="3"/>
  <c r="K114" i="3"/>
  <c r="K115" i="3"/>
  <c r="K116" i="3"/>
  <c r="K119" i="3"/>
  <c r="K120" i="3"/>
  <c r="K2" i="3"/>
  <c r="J3" i="3"/>
  <c r="J4" i="3"/>
  <c r="L4" i="3" s="1"/>
  <c r="J5" i="3"/>
  <c r="K5" i="3" s="1"/>
  <c r="J6" i="3"/>
  <c r="K6" i="3" s="1"/>
  <c r="J7" i="3"/>
  <c r="J8" i="3"/>
  <c r="J9" i="3"/>
  <c r="J10" i="3"/>
  <c r="J11" i="3"/>
  <c r="J12" i="3"/>
  <c r="L12" i="3" s="1"/>
  <c r="J13" i="3"/>
  <c r="K13" i="3" s="1"/>
  <c r="J14" i="3"/>
  <c r="K14" i="3" s="1"/>
  <c r="J15" i="3"/>
  <c r="J16" i="3"/>
  <c r="J17" i="3"/>
  <c r="J18" i="3"/>
  <c r="J19" i="3"/>
  <c r="J20" i="3"/>
  <c r="L20" i="3" s="1"/>
  <c r="J21" i="3"/>
  <c r="K21" i="3" s="1"/>
  <c r="J22" i="3"/>
  <c r="K22" i="3" s="1"/>
  <c r="J23" i="3"/>
  <c r="J24" i="3"/>
  <c r="J25" i="3"/>
  <c r="J26" i="3"/>
  <c r="J27" i="3"/>
  <c r="J28" i="3"/>
  <c r="L28" i="3" s="1"/>
  <c r="J29" i="3"/>
  <c r="K29" i="3" s="1"/>
  <c r="J30" i="3"/>
  <c r="K30" i="3" s="1"/>
  <c r="J31" i="3"/>
  <c r="J32" i="3"/>
  <c r="J33" i="3"/>
  <c r="J34" i="3"/>
  <c r="J35" i="3"/>
  <c r="J36" i="3"/>
  <c r="L36" i="3" s="1"/>
  <c r="J37" i="3"/>
  <c r="K37" i="3" s="1"/>
  <c r="J38" i="3"/>
  <c r="K38" i="3" s="1"/>
  <c r="J39" i="3"/>
  <c r="J40" i="3"/>
  <c r="J41" i="3"/>
  <c r="J42" i="3"/>
  <c r="J43" i="3"/>
  <c r="J44" i="3"/>
  <c r="L44" i="3" s="1"/>
  <c r="J45" i="3"/>
  <c r="K45" i="3" s="1"/>
  <c r="J46" i="3"/>
  <c r="K46" i="3" s="1"/>
  <c r="J47" i="3"/>
  <c r="J48" i="3"/>
  <c r="J49" i="3"/>
  <c r="J50" i="3"/>
  <c r="J51" i="3"/>
  <c r="J52" i="3"/>
  <c r="L52" i="3" s="1"/>
  <c r="J53" i="3"/>
  <c r="K53" i="3" s="1"/>
  <c r="J54" i="3"/>
  <c r="K54" i="3" s="1"/>
  <c r="J55" i="3"/>
  <c r="J56" i="3"/>
  <c r="J57" i="3"/>
  <c r="J58" i="3"/>
  <c r="J59" i="3"/>
  <c r="J60" i="3"/>
  <c r="L60" i="3" s="1"/>
  <c r="J61" i="3"/>
  <c r="K61" i="3" s="1"/>
  <c r="J62" i="3"/>
  <c r="K62" i="3" s="1"/>
  <c r="J63" i="3"/>
  <c r="J64" i="3"/>
  <c r="J65" i="3"/>
  <c r="J66" i="3"/>
  <c r="J67" i="3"/>
  <c r="J68" i="3"/>
  <c r="L68" i="3" s="1"/>
  <c r="J69" i="3"/>
  <c r="K69" i="3" s="1"/>
  <c r="J70" i="3"/>
  <c r="K70" i="3" s="1"/>
  <c r="J71" i="3"/>
  <c r="J72" i="3"/>
  <c r="J73" i="3"/>
  <c r="J74" i="3"/>
  <c r="J75" i="3"/>
  <c r="J76" i="3"/>
  <c r="L76" i="3" s="1"/>
  <c r="J77" i="3"/>
  <c r="K77" i="3" s="1"/>
  <c r="J78" i="3"/>
  <c r="K78" i="3" s="1"/>
  <c r="J79" i="3"/>
  <c r="J80" i="3"/>
  <c r="J81" i="3"/>
  <c r="J82" i="3"/>
  <c r="J83" i="3"/>
  <c r="J84" i="3"/>
  <c r="L84" i="3" s="1"/>
  <c r="J85" i="3"/>
  <c r="K85" i="3" s="1"/>
  <c r="J86" i="3"/>
  <c r="K86" i="3" s="1"/>
  <c r="J87" i="3"/>
  <c r="J88" i="3"/>
  <c r="J89" i="3"/>
  <c r="J90" i="3"/>
  <c r="J91" i="3"/>
  <c r="J92" i="3"/>
  <c r="L92" i="3" s="1"/>
  <c r="J93" i="3"/>
  <c r="K93" i="3" s="1"/>
  <c r="J94" i="3"/>
  <c r="K94" i="3" s="1"/>
  <c r="J95" i="3"/>
  <c r="J96" i="3"/>
  <c r="J97" i="3"/>
  <c r="J98" i="3"/>
  <c r="J99" i="3"/>
  <c r="J100" i="3"/>
  <c r="L100" i="3" s="1"/>
  <c r="J101" i="3"/>
  <c r="K101" i="3" s="1"/>
  <c r="J102" i="3"/>
  <c r="K102" i="3" s="1"/>
  <c r="J103" i="3"/>
  <c r="J104" i="3"/>
  <c r="J105" i="3"/>
  <c r="J106" i="3"/>
  <c r="J107" i="3"/>
  <c r="J108" i="3"/>
  <c r="L108" i="3" s="1"/>
  <c r="J109" i="3"/>
  <c r="K109" i="3" s="1"/>
  <c r="J110" i="3"/>
  <c r="K110" i="3" s="1"/>
  <c r="J111" i="3"/>
  <c r="J112" i="3"/>
  <c r="J113" i="3"/>
  <c r="J114" i="3"/>
  <c r="J115" i="3"/>
  <c r="J116" i="3"/>
  <c r="L116" i="3" s="1"/>
  <c r="J117" i="3"/>
  <c r="K117" i="3" s="1"/>
  <c r="J118" i="3"/>
  <c r="K118" i="3" s="1"/>
  <c r="J119" i="3"/>
  <c r="J120" i="3"/>
  <c r="J2" i="3"/>
  <c r="L117" i="3" l="1"/>
  <c r="L109" i="3"/>
  <c r="L101" i="3"/>
  <c r="L93" i="3"/>
  <c r="L85" i="3"/>
  <c r="L77" i="3"/>
  <c r="L69" i="3"/>
  <c r="L61" i="3"/>
  <c r="L53" i="3"/>
  <c r="L45" i="3"/>
  <c r="L37" i="3"/>
  <c r="L29" i="3"/>
  <c r="L21" i="3"/>
  <c r="L13" i="3"/>
  <c r="L5" i="3"/>
  <c r="A9" i="3" s="1"/>
  <c r="B38" i="4"/>
  <c r="A6" i="3" l="1"/>
  <c r="E31" i="4"/>
  <c r="E25" i="4"/>
  <c r="D31" i="4"/>
  <c r="D27" i="4"/>
  <c r="E27" i="4" s="1"/>
  <c r="D28" i="4"/>
  <c r="E28" i="4" s="1"/>
  <c r="D29" i="4"/>
  <c r="E29" i="4" s="1"/>
  <c r="D30" i="4"/>
  <c r="E30" i="4" s="1"/>
  <c r="D26" i="4"/>
  <c r="E26" i="4" s="1"/>
  <c r="D25" i="4"/>
  <c r="B31" i="4"/>
  <c r="B27" i="4"/>
  <c r="B28" i="4"/>
  <c r="C28" i="4" s="1"/>
  <c r="B29" i="4"/>
  <c r="C29" i="4" s="1"/>
  <c r="B30" i="4"/>
  <c r="B26" i="4"/>
  <c r="C26" i="4" s="1"/>
  <c r="B25" i="4"/>
  <c r="C30" i="4"/>
  <c r="C27" i="4"/>
  <c r="C22" i="4"/>
  <c r="E9" i="4"/>
  <c r="F9" i="4" s="1"/>
  <c r="E5" i="4"/>
  <c r="F5" i="4" s="1"/>
  <c r="E6" i="4"/>
  <c r="F6" i="4" s="1"/>
  <c r="E7" i="4"/>
  <c r="F7" i="4" s="1"/>
  <c r="E8" i="4"/>
  <c r="F8" i="4" s="1"/>
  <c r="E4" i="4"/>
  <c r="F4" i="4" s="1"/>
  <c r="E3" i="4"/>
  <c r="F3" i="4" s="1"/>
  <c r="D35" i="4" l="1"/>
  <c r="B35" i="4"/>
  <c r="E35" i="4"/>
  <c r="B40" i="4" s="1"/>
  <c r="C31" i="4"/>
  <c r="C25" i="4"/>
  <c r="B11" i="4"/>
  <c r="E13" i="4"/>
  <c r="F13" i="4"/>
  <c r="B10" i="4" s="1"/>
  <c r="B13" i="4" s="1"/>
  <c r="C3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<sst xmlns="http://schemas.openxmlformats.org/spreadsheetml/2006/main" count="177" uniqueCount="164">
  <si>
    <t>Sellback Price</t>
  </si>
  <si>
    <t>NPV</t>
  </si>
  <si>
    <t>IRR</t>
  </si>
  <si>
    <t>T</t>
  </si>
  <si>
    <t>CF</t>
  </si>
  <si>
    <t>DCF</t>
  </si>
  <si>
    <t>Alpha</t>
  </si>
  <si>
    <t>Beta</t>
  </si>
  <si>
    <t>5% CVaR</t>
  </si>
  <si>
    <t>Stated WACC</t>
  </si>
  <si>
    <t>Initial Cost</t>
  </si>
  <si>
    <t>Yearly CashFlow</t>
  </si>
  <si>
    <t>Questions</t>
  </si>
  <si>
    <t>Accept / Decline?</t>
  </si>
  <si>
    <t>SUM</t>
  </si>
  <si>
    <t>PayBack?</t>
  </si>
  <si>
    <t>Project Approval Question INPUTS</t>
  </si>
  <si>
    <t>PART 1</t>
  </si>
  <si>
    <t>PART 2</t>
  </si>
  <si>
    <t>Future INPUTS</t>
  </si>
  <si>
    <t>GOOD MARKET</t>
  </si>
  <si>
    <t>BAD MARKET</t>
  </si>
  <si>
    <t>PROB (P)</t>
  </si>
  <si>
    <t>CF GOOD</t>
  </si>
  <si>
    <t>DCF GOOD</t>
  </si>
  <si>
    <t>^ NPV</t>
  </si>
  <si>
    <t>CF BAD</t>
  </si>
  <si>
    <t>DCF BAD</t>
  </si>
  <si>
    <t>NPV OF WAITING</t>
  </si>
  <si>
    <t>MAX PAY</t>
  </si>
  <si>
    <t>Security</t>
  </si>
  <si>
    <t>S&amp;P   500</t>
  </si>
  <si>
    <t>Date</t>
  </si>
  <si>
    <t>SECURITY - RF</t>
  </si>
  <si>
    <t>S&amp;P - RF</t>
  </si>
  <si>
    <t>ORDERED SEC RETURNS</t>
  </si>
  <si>
    <t>Oct 31, 2025</t>
  </si>
  <si>
    <t>Sep 30, 2025</t>
  </si>
  <si>
    <t>Aug 30, 2025</t>
  </si>
  <si>
    <t>Jul 30, 2025</t>
  </si>
  <si>
    <t>Jun 30, 2025</t>
  </si>
  <si>
    <t>May 30, 2025</t>
  </si>
  <si>
    <t>Apr 30, 2025</t>
  </si>
  <si>
    <t>Mar 30, 2025</t>
  </si>
  <si>
    <t>Feb 28, 2025</t>
  </si>
  <si>
    <t>Jan 28, 2025</t>
  </si>
  <si>
    <t>Dec 28, 2024</t>
  </si>
  <si>
    <t>Nov 28, 2024</t>
  </si>
  <si>
    <t>Oct 28, 2024</t>
  </si>
  <si>
    <t>Sep 28, 2024</t>
  </si>
  <si>
    <t>Aug 28, 2024</t>
  </si>
  <si>
    <t>Jul 28, 2024</t>
  </si>
  <si>
    <t>Jun 28, 2024</t>
  </si>
  <si>
    <t>May 28, 2024</t>
  </si>
  <si>
    <t>Apr 28, 2024</t>
  </si>
  <si>
    <t>Mar 28, 2024</t>
  </si>
  <si>
    <t>Feb 28, 2024</t>
  </si>
  <si>
    <t>Jan 28, 2024</t>
  </si>
  <si>
    <t>Dec 28, 2023</t>
  </si>
  <si>
    <t>Nov 28, 2023</t>
  </si>
  <si>
    <t>Oct 28, 2023</t>
  </si>
  <si>
    <t>Sep 28, 2023</t>
  </si>
  <si>
    <t>Aug 28, 2023</t>
  </si>
  <si>
    <t>Jul 28, 2023</t>
  </si>
  <si>
    <t>Jun 28, 2023</t>
  </si>
  <si>
    <t>May 28, 2023</t>
  </si>
  <si>
    <t>Apr 28, 2023</t>
  </si>
  <si>
    <t>Mar 28, 2023</t>
  </si>
  <si>
    <t>Feb 28, 2023</t>
  </si>
  <si>
    <t>Jan 28, 2023</t>
  </si>
  <si>
    <t>Dec 28, 2022</t>
  </si>
  <si>
    <t>Nov 28, 2022</t>
  </si>
  <si>
    <t>Oct 28, 2022</t>
  </si>
  <si>
    <t>Sep 28, 2022</t>
  </si>
  <si>
    <t>Aug 28, 2022</t>
  </si>
  <si>
    <t>Jul 28, 2022</t>
  </si>
  <si>
    <t>Jun 28, 2022</t>
  </si>
  <si>
    <t>May 28, 2022</t>
  </si>
  <si>
    <t>Apr 28, 2022</t>
  </si>
  <si>
    <t>Mar 28, 2022</t>
  </si>
  <si>
    <t>Feb 28, 2022</t>
  </si>
  <si>
    <t>Jan 28, 2022</t>
  </si>
  <si>
    <t>Dec 28, 2021</t>
  </si>
  <si>
    <t>Nov 28, 2021</t>
  </si>
  <si>
    <t>Oct 28, 2021</t>
  </si>
  <si>
    <t>Sep 28, 2021</t>
  </si>
  <si>
    <t>Aug 28, 2021</t>
  </si>
  <si>
    <t>Jul 28, 2021</t>
  </si>
  <si>
    <t>Jun 28, 2021</t>
  </si>
  <si>
    <t>May 28, 2021</t>
  </si>
  <si>
    <t>Apr 28, 2021</t>
  </si>
  <si>
    <t>Mar 28, 2021</t>
  </si>
  <si>
    <t>Feb 28, 2021</t>
  </si>
  <si>
    <t>Jan 28, 2021</t>
  </si>
  <si>
    <t>Dec 28, 2020</t>
  </si>
  <si>
    <t>Nov 28, 2020</t>
  </si>
  <si>
    <t>Oct 28, 2020</t>
  </si>
  <si>
    <t>Sep 28, 2020</t>
  </si>
  <si>
    <t>Aug 28, 2020</t>
  </si>
  <si>
    <t>Jul 28, 2020</t>
  </si>
  <si>
    <t>Jun 28, 2020</t>
  </si>
  <si>
    <t>May 28, 2020</t>
  </si>
  <si>
    <t>Apr 28, 2020</t>
  </si>
  <si>
    <t>Mar 28, 2020</t>
  </si>
  <si>
    <t>Feb 28, 2020</t>
  </si>
  <si>
    <t>Jan 28, 2020</t>
  </si>
  <si>
    <t>Dec 28, 2019</t>
  </si>
  <si>
    <t>Nov 28, 2019</t>
  </si>
  <si>
    <t>Oct 28, 2019</t>
  </si>
  <si>
    <t>Sep 28, 2019</t>
  </si>
  <si>
    <t>Aug 28, 2019</t>
  </si>
  <si>
    <t>Jul 28, 2019</t>
  </si>
  <si>
    <t>Jun 28, 2019</t>
  </si>
  <si>
    <t>May 28, 2019</t>
  </si>
  <si>
    <t>Apr 28, 2019</t>
  </si>
  <si>
    <t>Mar 28, 2019</t>
  </si>
  <si>
    <t>Feb 28, 2019</t>
  </si>
  <si>
    <t>Jan 28, 2019</t>
  </si>
  <si>
    <t>Dec 28, 2018</t>
  </si>
  <si>
    <t>Nov 28, 2018</t>
  </si>
  <si>
    <t>Oct 28, 2018</t>
  </si>
  <si>
    <t>Sep 28, 2018</t>
  </si>
  <si>
    <t>Aug 28, 2018</t>
  </si>
  <si>
    <t>Jul 28, 2018</t>
  </si>
  <si>
    <t>Jun 28, 2018</t>
  </si>
  <si>
    <t>May 28, 2018</t>
  </si>
  <si>
    <t>Apr 28, 2018</t>
  </si>
  <si>
    <t>Mar 28, 2018</t>
  </si>
  <si>
    <t>Feb 28, 2018</t>
  </si>
  <si>
    <t>Jan 28, 2018</t>
  </si>
  <si>
    <t>Dec 28, 2017</t>
  </si>
  <si>
    <t>Nov 28, 2017</t>
  </si>
  <si>
    <t>Oct 28, 2017</t>
  </si>
  <si>
    <t>Sep 28, 2017</t>
  </si>
  <si>
    <t>Aug 28, 2017</t>
  </si>
  <si>
    <t>Jul 28, 2017</t>
  </si>
  <si>
    <t>Jun 28, 2017</t>
  </si>
  <si>
    <t>May 28, 2017</t>
  </si>
  <si>
    <t>Apr 28, 2017</t>
  </si>
  <si>
    <t>Mar 28, 2017</t>
  </si>
  <si>
    <t>Feb 28, 2017</t>
  </si>
  <si>
    <t>Jan 28, 2017</t>
  </si>
  <si>
    <t>Dec 28, 2016</t>
  </si>
  <si>
    <t>Nov 28, 2016</t>
  </si>
  <si>
    <t>Oct 28, 2016</t>
  </si>
  <si>
    <t>Sep 28, 2016</t>
  </si>
  <si>
    <t>Aug 28, 2016</t>
  </si>
  <si>
    <t>Jul 28, 2016</t>
  </si>
  <si>
    <t>Jun 28, 2016</t>
  </si>
  <si>
    <t>May 28, 2016</t>
  </si>
  <si>
    <t>Apr 28, 2016</t>
  </si>
  <si>
    <t>Mar 28, 2016</t>
  </si>
  <si>
    <t>Feb 28, 2016</t>
  </si>
  <si>
    <t>Jan 28, 2016</t>
  </si>
  <si>
    <t>Dec 28, 2015</t>
  </si>
  <si>
    <t>Risk Free (annual) IN %</t>
  </si>
  <si>
    <t>Monthly Risk Free IN %</t>
  </si>
  <si>
    <t>Average Monthly Return</t>
  </si>
  <si>
    <t>Sharpe Ratio</t>
  </si>
  <si>
    <t>5% VaR</t>
  </si>
  <si>
    <t xml:space="preserve">* or just count </t>
  </si>
  <si>
    <t>GIVEN SECURITY</t>
  </si>
  <si>
    <t>ORDERED S&amp;P RETURNS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</si>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</sst>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44" fontId="0" fillId="0" borderId="6" xfId="0" applyNumberFormat="1" applyBorder="1"/>
    <xf numFmtId="44" fontId="0" fillId="0" borderId="9" xfId="0" applyNumberFormat="1" applyBorder="1"/>
    <xf numFmtId="44" fontId="0" fillId="0" borderId="11" xfId="1" applyFont="1" applyBorder="1"/>
    <xf numFmtId="44" fontId="0" fillId="0" borderId="12" xfId="1" applyFont="1" applyBorder="1"/>
    <xf numFmtId="44" fontId="0" fillId="3" borderId="0" xfId="1" applyFont="1" applyFill="1" applyBorder="1"/>
    <xf numFmtId="44" fontId="0" fillId="3" borderId="8" xfId="1" applyFont="1" applyFill="1" applyBorder="1"/>
    <xf numFmtId="0" fontId="0" fillId="0" borderId="5" xfId="0" applyBorder="1"/>
    <xf numFmtId="10" fontId="0" fillId="0" borderId="6" xfId="2" applyNumberFormat="1" applyFont="1" applyBorder="1"/>
    <xf numFmtId="44" fontId="0" fillId="0" borderId="6" xfId="1" applyFont="1" applyBorder="1"/>
    <xf numFmtId="44" fontId="0" fillId="0" borderId="9" xfId="1" applyFont="1" applyBorder="1"/>
    <xf numFmtId="0" fontId="2" fillId="2" borderId="10" xfId="0" applyFont="1" applyFill="1" applyBorder="1"/>
    <xf numFmtId="0" fontId="0" fillId="2" borderId="12" xfId="0" applyFill="1" applyBorder="1"/>
    <xf numFmtId="164" fontId="0" fillId="0" borderId="6" xfId="0" applyNumberFormat="1" applyBorder="1"/>
    <xf numFmtId="44" fontId="0" fillId="0" borderId="4" xfId="0" applyNumberFormat="1" applyBorder="1"/>
    <xf numFmtId="0" fontId="0" fillId="5" borderId="7" xfId="0" applyFill="1" applyBorder="1"/>
    <xf numFmtId="0" fontId="0" fillId="5" borderId="9" xfId="0" applyFill="1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2" borderId="1" xfId="0" applyFill="1" applyBorder="1"/>
    <xf numFmtId="0" fontId="4" fillId="8" borderId="2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4" borderId="1" xfId="0" applyFill="1" applyBorder="1"/>
    <xf numFmtId="0" fontId="0" fillId="6" borderId="1" xfId="0" applyFill="1" applyBorder="1"/>
    <xf numFmtId="10" fontId="0" fillId="0" borderId="11" xfId="2" applyNumberFormat="1" applyFont="1" applyBorder="1"/>
    <xf numFmtId="10" fontId="0" fillId="0" borderId="1" xfId="2" applyNumberFormat="1" applyFont="1" applyBorder="1"/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0" fontId="3" fillId="8" borderId="1" xfId="0" applyFont="1" applyFill="1" applyBorder="1"/>
    <xf numFmtId="44" fontId="0" fillId="0" borderId="1" xfId="0" applyNumberFormat="1" applyBorder="1"/>
    <xf numFmtId="0" fontId="0" fillId="9" borderId="0" xfId="0" applyFill="1"/>
    <xf numFmtId="0" fontId="0" fillId="9" borderId="16" xfId="0" applyFill="1" applyBorder="1"/>
    <xf numFmtId="0" fontId="0" fillId="3" borderId="0" xfId="0" applyFill="1"/>
    <xf numFmtId="0" fontId="6" fillId="10" borderId="18" xfId="0" applyFont="1" applyFill="1" applyBorder="1" applyAlignment="1">
      <alignment horizontal="center"/>
    </xf>
    <xf numFmtId="0" fontId="0" fillId="9" borderId="16" xfId="0" applyFill="1" applyBorder="1" applyAlignment="1">
      <alignment vertical="top"/>
    </xf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8" borderId="1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6" fillId="8" borderId="0" xfId="0" applyFont="1" applyFill="1"/>
    <xf numFmtId="0" fontId="5" fillId="12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6" fillId="11" borderId="0" xfId="0" applyFont="1" applyFill="1"/>
    <xf numFmtId="0" fontId="3" fillId="11" borderId="1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9" tint="0.39994506668294322"/>
        </patternFill>
      </fill>
    </dxf>
    <dxf>
      <fill>
        <patternFill>
          <bgColor rgb="FFFF7171"/>
        </patternFill>
      </fill>
    </dxf>
  </dxfs>
  <tableStyles count="0" defaultTableStyle="TableStyleMedium2" defaultPivotStyle="PivotStyleLight16"/>
  <colors>
    <mruColors>
      <color rgb="FFFF7979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FBF2-6AE9-464B-997D-08F5236EA9B2}">
  <dimension ref="A1:F40"/>
  <sheetViews>
    <sheetView topLeftCell="A20" workbookViewId="0">
      <selection activeCell="I19" sqref="I19"/>
    </sheetView>
  </sheetViews>
  <sheetFormatPr defaultRowHeight="14.25" x14ac:dyDescent="0.45"/>
  <cols>
    <col min="1" max="1" width="21.06640625" bestFit="1" customWidth="1"/>
    <col min="2" max="8" width="14.19921875" bestFit="1" customWidth="1"/>
  </cols>
  <sheetData>
    <row r="1" spans="1:6" ht="16.149999999999999" thickBot="1" x14ac:dyDescent="0.55000000000000004">
      <c r="A1" s="32" t="s">
        <v>17</v>
      </c>
      <c r="B1" s="33"/>
      <c r="C1" s="33"/>
      <c r="D1" s="33"/>
      <c r="E1" s="33"/>
      <c r="F1" s="34"/>
    </row>
    <row r="2" spans="1:6" ht="14.65" thickBot="1" x14ac:dyDescent="0.5">
      <c r="A2" s="19" t="s">
        <v>16</v>
      </c>
      <c r="B2" s="20"/>
      <c r="D2" s="6" t="s">
        <v>3</v>
      </c>
      <c r="E2" s="7" t="s">
        <v>4</v>
      </c>
      <c r="F2" s="8" t="s">
        <v>5</v>
      </c>
    </row>
    <row r="3" spans="1:6" x14ac:dyDescent="0.45">
      <c r="A3" s="28" t="s">
        <v>9</v>
      </c>
      <c r="B3" s="16">
        <v>0.06</v>
      </c>
      <c r="D3" s="1">
        <v>0</v>
      </c>
      <c r="E3" s="13">
        <f>(-1*B4)</f>
        <v>-1000000</v>
      </c>
      <c r="F3" s="9">
        <f t="shared" ref="F3:F9" si="0">E3/(1+$B$3)^D3</f>
        <v>-1000000</v>
      </c>
    </row>
    <row r="4" spans="1:6" x14ac:dyDescent="0.45">
      <c r="A4" s="29" t="s">
        <v>10</v>
      </c>
      <c r="B4" s="17">
        <v>1000000</v>
      </c>
      <c r="D4" s="1">
        <v>1</v>
      </c>
      <c r="E4" s="13">
        <f>$B$5</f>
        <v>100000</v>
      </c>
      <c r="F4" s="9">
        <f t="shared" si="0"/>
        <v>94339.622641509428</v>
      </c>
    </row>
    <row r="5" spans="1:6" x14ac:dyDescent="0.45">
      <c r="A5" s="29" t="s">
        <v>11</v>
      </c>
      <c r="B5" s="17">
        <v>100000</v>
      </c>
      <c r="D5" s="1">
        <v>2</v>
      </c>
      <c r="E5" s="13">
        <f>$B$5</f>
        <v>100000</v>
      </c>
      <c r="F5" s="9">
        <f t="shared" si="0"/>
        <v>88999.644001423978</v>
      </c>
    </row>
    <row r="6" spans="1:6" ht="14.65" thickBot="1" x14ac:dyDescent="0.5">
      <c r="A6" s="30" t="s">
        <v>0</v>
      </c>
      <c r="B6" s="18">
        <v>800000</v>
      </c>
      <c r="D6" s="1">
        <v>3</v>
      </c>
      <c r="E6" s="13">
        <f>$B$5</f>
        <v>100000</v>
      </c>
      <c r="F6" s="9">
        <f t="shared" si="0"/>
        <v>83961.928303230161</v>
      </c>
    </row>
    <row r="7" spans="1:6" x14ac:dyDescent="0.45">
      <c r="A7" s="15"/>
      <c r="D7" s="1">
        <v>4</v>
      </c>
      <c r="E7" s="13">
        <f>$B$5</f>
        <v>100000</v>
      </c>
      <c r="F7" s="9">
        <f t="shared" si="0"/>
        <v>79209.366323802038</v>
      </c>
    </row>
    <row r="8" spans="1:6" ht="14.65" thickBot="1" x14ac:dyDescent="0.5">
      <c r="A8" s="15"/>
      <c r="D8" s="1">
        <v>5</v>
      </c>
      <c r="E8" s="13">
        <f>$B$5</f>
        <v>100000</v>
      </c>
      <c r="F8" s="9">
        <f t="shared" si="0"/>
        <v>74725.817286605685</v>
      </c>
    </row>
    <row r="9" spans="1:6" ht="14.65" thickBot="1" x14ac:dyDescent="0.5">
      <c r="A9" s="19" t="s">
        <v>12</v>
      </c>
      <c r="B9" s="20"/>
      <c r="D9" s="3">
        <v>6</v>
      </c>
      <c r="E9" s="14">
        <f>B6</f>
        <v>800000</v>
      </c>
      <c r="F9" s="10">
        <f t="shared" si="0"/>
        <v>563968.43235174101</v>
      </c>
    </row>
    <row r="10" spans="1:6" x14ac:dyDescent="0.45">
      <c r="A10" s="25" t="s">
        <v>1</v>
      </c>
      <c r="B10" s="22">
        <f>SUM(F13)</f>
        <v>-14795.189091687673</v>
      </c>
      <c r="F10" s="2"/>
    </row>
    <row r="11" spans="1:6" x14ac:dyDescent="0.45">
      <c r="A11" s="26" t="s">
        <v>2</v>
      </c>
      <c r="B11" s="21">
        <f>IRR(E3:E9)</f>
        <v>5.6624028405150462E-2</v>
      </c>
      <c r="F11" s="2"/>
    </row>
    <row r="12" spans="1:6" ht="14.65" thickBot="1" x14ac:dyDescent="0.5">
      <c r="A12" s="27" t="s">
        <v>15</v>
      </c>
      <c r="B12" s="5"/>
      <c r="F12" s="2"/>
    </row>
    <row r="13" spans="1:6" ht="14.65" thickBot="1" x14ac:dyDescent="0.5">
      <c r="A13" s="23" t="s">
        <v>13</v>
      </c>
      <c r="B13" s="24" t="str">
        <f>IF(B10&gt;0, "YES", "NO")</f>
        <v>NO</v>
      </c>
      <c r="D13" s="31" t="s">
        <v>14</v>
      </c>
      <c r="E13" s="11">
        <f>SUM(E3:E9)</f>
        <v>300000</v>
      </c>
      <c r="F13" s="12">
        <f>SUM(F3:F9)</f>
        <v>-14795.189091687673</v>
      </c>
    </row>
    <row r="14" spans="1:6" x14ac:dyDescent="0.45">
      <c r="A14" s="15"/>
      <c r="F14" s="2"/>
    </row>
    <row r="15" spans="1:6" ht="6" customHeight="1" thickBot="1" x14ac:dyDescent="0.5">
      <c r="A15" s="35"/>
      <c r="B15" s="36"/>
      <c r="C15" s="36"/>
      <c r="D15" s="36"/>
      <c r="E15" s="36"/>
      <c r="F15" s="37"/>
    </row>
    <row r="16" spans="1:6" ht="16.149999999999999" thickBot="1" x14ac:dyDescent="0.55000000000000004">
      <c r="A16" s="32" t="s">
        <v>18</v>
      </c>
      <c r="B16" s="33"/>
      <c r="C16" s="33"/>
      <c r="D16" s="33"/>
      <c r="E16" s="33"/>
      <c r="F16" s="34"/>
    </row>
    <row r="17" spans="1:6" ht="14.65" thickBot="1" x14ac:dyDescent="0.5">
      <c r="A17" s="19" t="s">
        <v>19</v>
      </c>
      <c r="B17" s="31" t="s">
        <v>20</v>
      </c>
      <c r="C17" s="38" t="s">
        <v>21</v>
      </c>
      <c r="F17" s="2"/>
    </row>
    <row r="18" spans="1:6" x14ac:dyDescent="0.45">
      <c r="A18" s="28" t="s">
        <v>9</v>
      </c>
      <c r="B18" s="16">
        <v>0.06</v>
      </c>
      <c r="C18" s="16">
        <v>0.06</v>
      </c>
      <c r="F18" s="2"/>
    </row>
    <row r="19" spans="1:6" x14ac:dyDescent="0.45">
      <c r="A19" s="29" t="s">
        <v>10</v>
      </c>
      <c r="B19" s="17">
        <v>1000000</v>
      </c>
      <c r="C19" s="17">
        <v>1000000</v>
      </c>
      <c r="F19" s="2"/>
    </row>
    <row r="20" spans="1:6" x14ac:dyDescent="0.45">
      <c r="A20" s="29" t="s">
        <v>11</v>
      </c>
      <c r="B20" s="17">
        <v>150000</v>
      </c>
      <c r="C20" s="17">
        <v>50000</v>
      </c>
      <c r="F20" s="2"/>
    </row>
    <row r="21" spans="1:6" ht="14.65" thickBot="1" x14ac:dyDescent="0.5">
      <c r="A21" s="30" t="s">
        <v>0</v>
      </c>
      <c r="B21" s="18">
        <v>800000</v>
      </c>
      <c r="C21" s="18">
        <v>800000</v>
      </c>
      <c r="F21" s="2"/>
    </row>
    <row r="22" spans="1:6" ht="14.65" thickBot="1" x14ac:dyDescent="0.5">
      <c r="A22" s="39" t="s">
        <v>22</v>
      </c>
      <c r="B22" s="40">
        <v>0.5</v>
      </c>
      <c r="C22" s="41">
        <f>1-B22</f>
        <v>0.5</v>
      </c>
      <c r="F22" s="2"/>
    </row>
    <row r="23" spans="1:6" ht="14.65" thickBot="1" x14ac:dyDescent="0.5">
      <c r="A23" s="15"/>
      <c r="F23" s="2"/>
    </row>
    <row r="24" spans="1:6" ht="14.65" thickBot="1" x14ac:dyDescent="0.5">
      <c r="A24" s="6" t="s">
        <v>3</v>
      </c>
      <c r="B24" s="7" t="s">
        <v>23</v>
      </c>
      <c r="C24" s="8" t="s">
        <v>24</v>
      </c>
      <c r="D24" s="42" t="s">
        <v>26</v>
      </c>
      <c r="E24" s="43" t="s">
        <v>27</v>
      </c>
      <c r="F24" s="2"/>
    </row>
    <row r="25" spans="1:6" x14ac:dyDescent="0.45">
      <c r="A25" s="1">
        <v>0</v>
      </c>
      <c r="B25" s="13">
        <f>(-1*B19)</f>
        <v>-1000000</v>
      </c>
      <c r="C25" s="9">
        <f t="shared" ref="C25:C31" si="1">B25/(1+$B$3)^A25</f>
        <v>-1000000</v>
      </c>
      <c r="D25" s="13">
        <f>(-1*C19)</f>
        <v>-1000000</v>
      </c>
      <c r="E25" s="44">
        <f>D25/(1+$B$3)^A25</f>
        <v>-1000000</v>
      </c>
      <c r="F25" s="2"/>
    </row>
    <row r="26" spans="1:6" x14ac:dyDescent="0.45">
      <c r="A26" s="1">
        <v>1</v>
      </c>
      <c r="B26" s="13">
        <f>$B$20</f>
        <v>150000</v>
      </c>
      <c r="C26" s="9">
        <f t="shared" si="1"/>
        <v>141509.43396226416</v>
      </c>
      <c r="D26" s="13">
        <f>$C$20</f>
        <v>50000</v>
      </c>
      <c r="E26" s="45">
        <f t="shared" ref="E26:E31" si="2">D26/(1+$B$3)^A26</f>
        <v>47169.811320754714</v>
      </c>
      <c r="F26" s="2"/>
    </row>
    <row r="27" spans="1:6" x14ac:dyDescent="0.45">
      <c r="A27" s="1">
        <v>2</v>
      </c>
      <c r="B27" s="13">
        <f t="shared" ref="B27:B30" si="3">$B$20</f>
        <v>150000</v>
      </c>
      <c r="C27" s="9">
        <f t="shared" si="1"/>
        <v>133499.46600213597</v>
      </c>
      <c r="D27" s="13">
        <f t="shared" ref="D27:D30" si="4">$C$20</f>
        <v>50000</v>
      </c>
      <c r="E27" s="45">
        <f t="shared" si="2"/>
        <v>44499.822000711989</v>
      </c>
      <c r="F27" s="2"/>
    </row>
    <row r="28" spans="1:6" x14ac:dyDescent="0.45">
      <c r="A28" s="1">
        <v>3</v>
      </c>
      <c r="B28" s="13">
        <f t="shared" si="3"/>
        <v>150000</v>
      </c>
      <c r="C28" s="9">
        <f t="shared" si="1"/>
        <v>125942.89245484525</v>
      </c>
      <c r="D28" s="13">
        <f t="shared" si="4"/>
        <v>50000</v>
      </c>
      <c r="E28" s="45">
        <f t="shared" si="2"/>
        <v>41980.96415161508</v>
      </c>
      <c r="F28" s="2"/>
    </row>
    <row r="29" spans="1:6" x14ac:dyDescent="0.45">
      <c r="A29" s="1">
        <v>4</v>
      </c>
      <c r="B29" s="13">
        <f t="shared" si="3"/>
        <v>150000</v>
      </c>
      <c r="C29" s="9">
        <f t="shared" si="1"/>
        <v>118814.04948570306</v>
      </c>
      <c r="D29" s="13">
        <f t="shared" si="4"/>
        <v>50000</v>
      </c>
      <c r="E29" s="45">
        <f t="shared" si="2"/>
        <v>39604.683161901019</v>
      </c>
      <c r="F29" s="2"/>
    </row>
    <row r="30" spans="1:6" x14ac:dyDescent="0.45">
      <c r="A30" s="1">
        <v>5</v>
      </c>
      <c r="B30" s="13">
        <f t="shared" si="3"/>
        <v>150000</v>
      </c>
      <c r="C30" s="9">
        <f t="shared" si="1"/>
        <v>112088.72592990853</v>
      </c>
      <c r="D30" s="13">
        <f t="shared" si="4"/>
        <v>50000</v>
      </c>
      <c r="E30" s="45">
        <f t="shared" si="2"/>
        <v>37362.908643302842</v>
      </c>
      <c r="F30" s="2"/>
    </row>
    <row r="31" spans="1:6" ht="14.65" thickBot="1" x14ac:dyDescent="0.5">
      <c r="A31" s="3">
        <v>6</v>
      </c>
      <c r="B31" s="14">
        <f>$B$21</f>
        <v>800000</v>
      </c>
      <c r="C31" s="10">
        <f t="shared" si="1"/>
        <v>563968.43235174101</v>
      </c>
      <c r="D31" s="14">
        <f>$C$21</f>
        <v>800000</v>
      </c>
      <c r="E31" s="46">
        <f t="shared" si="2"/>
        <v>563968.43235174101</v>
      </c>
      <c r="F31" s="2"/>
    </row>
    <row r="32" spans="1:6" x14ac:dyDescent="0.45">
      <c r="A32" s="15"/>
      <c r="F32" s="2"/>
    </row>
    <row r="33" spans="1:6" x14ac:dyDescent="0.45">
      <c r="A33" s="15"/>
      <c r="F33" s="2"/>
    </row>
    <row r="34" spans="1:6" ht="14.65" thickBot="1" x14ac:dyDescent="0.5">
      <c r="A34" s="15"/>
      <c r="F34" s="2"/>
    </row>
    <row r="35" spans="1:6" ht="14.65" thickBot="1" x14ac:dyDescent="0.5">
      <c r="A35" s="31" t="s">
        <v>14</v>
      </c>
      <c r="B35" s="11">
        <f>SUM(B25:B31)</f>
        <v>550000</v>
      </c>
      <c r="C35" s="12">
        <f>SUM(C25:C31)</f>
        <v>195823.00018659793</v>
      </c>
      <c r="D35" s="11">
        <f>SUM(D25:D31)</f>
        <v>50000</v>
      </c>
      <c r="E35" s="12">
        <f>SUM(E25:E31)</f>
        <v>-225413.37836997339</v>
      </c>
      <c r="F35" s="2"/>
    </row>
    <row r="36" spans="1:6" ht="14.65" thickBot="1" x14ac:dyDescent="0.5">
      <c r="A36" s="15"/>
      <c r="C36" s="31" t="s">
        <v>25</v>
      </c>
      <c r="E36" s="38" t="s">
        <v>25</v>
      </c>
      <c r="F36" s="2"/>
    </row>
    <row r="37" spans="1:6" ht="14.65" thickBot="1" x14ac:dyDescent="0.5">
      <c r="A37" s="15"/>
      <c r="F37" s="2"/>
    </row>
    <row r="38" spans="1:6" ht="14.65" thickBot="1" x14ac:dyDescent="0.5">
      <c r="A38" s="47" t="s">
        <v>28</v>
      </c>
      <c r="B38" s="48">
        <f>(B22*C35)/(1+B18)</f>
        <v>92369.339710659391</v>
      </c>
      <c r="F38" s="2"/>
    </row>
    <row r="39" spans="1:6" ht="14.65" thickBot="1" x14ac:dyDescent="0.5">
      <c r="A39" s="15"/>
      <c r="F39" s="2"/>
    </row>
    <row r="40" spans="1:6" ht="14.65" thickBot="1" x14ac:dyDescent="0.5">
      <c r="A40" s="47" t="s">
        <v>29</v>
      </c>
      <c r="B40" s="48">
        <f>B38-E35</f>
        <v>317782.7180806328</v>
      </c>
      <c r="C40" s="4"/>
      <c r="D40" s="4"/>
      <c r="E40" s="4"/>
      <c r="F40" s="5"/>
    </row>
  </sheetData>
  <conditionalFormatting sqref="B13">
    <cfRule type="expression" dxfId="1" priority="1">
      <formula>$B$13 = "NO"</formula>
    </cfRule>
    <cfRule type="expression" dxfId="0" priority="3">
      <formula>$B$13 = "YES"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C613-F5B0-4962-8816-ABE79ECA28CE}">
  <dimension ref="A1:N786"/>
  <sheetViews>
    <sheetView tabSelected="1" zoomScale="45" workbookViewId="0">
      <selection activeCell="R10" sqref="R10"/>
    </sheetView>
  </sheetViews>
  <sheetFormatPr defaultRowHeight="14.25" x14ac:dyDescent="0.45"/>
  <cols>
    <col min="1" max="1" width="20.06640625" customWidth="1"/>
    <col min="5" max="5" width="12.46484375" customWidth="1"/>
    <col min="6" max="6" width="12.46484375" style="50" customWidth="1"/>
    <col min="7" max="7" width="17.796875" style="51" customWidth="1"/>
    <col min="8" max="8" width="17.53125" style="49" customWidth="1"/>
    <col min="9" max="9" width="24.86328125" style="51" bestFit="1" customWidth="1"/>
    <col min="10" max="10" width="24.46484375" style="55" bestFit="1" customWidth="1"/>
    <col min="11" max="11" width="15.796875" style="65" customWidth="1"/>
    <col min="12" max="12" width="9.06640625" style="67"/>
    <col min="13" max="13" width="20.59765625" style="69" bestFit="1" customWidth="1"/>
    <col min="14" max="14" width="21.06640625" style="72" bestFit="1" customWidth="1"/>
  </cols>
  <sheetData>
    <row r="1" spans="1:14" ht="18.399999999999999" thickBot="1" x14ac:dyDescent="0.6">
      <c r="A1" s="70" t="s">
        <v>161</v>
      </c>
      <c r="F1" s="52" t="s">
        <v>32</v>
      </c>
      <c r="G1" s="77" t="s">
        <v>30</v>
      </c>
      <c r="H1" s="78" t="s">
        <v>31</v>
      </c>
      <c r="I1" s="79" t="s">
        <v>155</v>
      </c>
      <c r="J1" s="56" t="s">
        <v>156</v>
      </c>
      <c r="K1" s="64" t="s">
        <v>33</v>
      </c>
      <c r="L1" s="66" t="s">
        <v>34</v>
      </c>
      <c r="M1" s="68" t="s">
        <v>35</v>
      </c>
      <c r="N1" s="71" t="s">
        <v>162</v>
      </c>
    </row>
    <row r="2" spans="1:14" ht="14.65" thickBot="1" x14ac:dyDescent="0.5">
      <c r="A2" s="59" t="s">
        <v>157</v>
      </c>
      <c r="F2" s="53" t="s">
        <v>36</v>
      </c>
      <c r="G2" s="54">
        <v>1.49</v>
      </c>
      <c r="H2" s="55">
        <v>2.38</v>
      </c>
      <c r="I2" s="54">
        <v>3.99</v>
      </c>
      <c r="J2" s="57">
        <f>I2/12</f>
        <v>0.33250000000000002</v>
      </c>
      <c r="K2" s="65">
        <f>G2-J2</f>
        <v>1.1575</v>
      </c>
      <c r="L2" s="67">
        <f>H2-J2</f>
        <v>2.0474999999999999</v>
      </c>
      <c r="M2" s="69" cm="1">
        <f t="array" ref="M2:M120">_xlfn._xlws.SORT(G2:G120,,1)</f>
        <v>-9.36</v>
      </c>
      <c r="N2" s="72" cm="1">
        <f t="array" ref="N2:N120">_xlfn._xlws.SORT(H2:H120,,1)</f>
        <v>-11.16</v>
      </c>
    </row>
    <row r="3" spans="1:14" ht="14.65" thickBot="1" x14ac:dyDescent="0.5">
      <c r="A3" s="58">
        <f>AVERAGE(G2:G120)</f>
        <v>0.95747899159663841</v>
      </c>
      <c r="F3" s="53" t="s">
        <v>37</v>
      </c>
      <c r="G3" s="54">
        <v>4.09</v>
      </c>
      <c r="H3" s="55">
        <v>4.34</v>
      </c>
      <c r="I3" s="54">
        <v>4.08</v>
      </c>
      <c r="J3" s="57">
        <f t="shared" ref="J3:J66" si="0">I3/12</f>
        <v>0.34</v>
      </c>
      <c r="K3" s="65">
        <f t="shared" ref="K3:K66" si="1">G3-J3</f>
        <v>3.75</v>
      </c>
      <c r="L3" s="67">
        <f t="shared" ref="L3:L66" si="2">H3-J3</f>
        <v>4</v>
      </c>
      <c r="M3" s="69">
        <v>-9</v>
      </c>
      <c r="N3" s="72">
        <v>-9.3699999999999992</v>
      </c>
    </row>
    <row r="4" spans="1:14" ht="14.65" thickBot="1" x14ac:dyDescent="0.5">
      <c r="A4" s="60"/>
      <c r="F4" s="53" t="s">
        <v>38</v>
      </c>
      <c r="G4" s="54">
        <v>1.18</v>
      </c>
      <c r="H4" s="55">
        <v>0.92</v>
      </c>
      <c r="I4" s="54">
        <v>4.32</v>
      </c>
      <c r="J4" s="57">
        <f t="shared" si="0"/>
        <v>0.36000000000000004</v>
      </c>
      <c r="K4" s="65">
        <f t="shared" si="1"/>
        <v>0.81999999999999984</v>
      </c>
      <c r="L4" s="67">
        <f t="shared" si="2"/>
        <v>0.56000000000000005</v>
      </c>
      <c r="M4" s="69">
        <v>-8.61</v>
      </c>
      <c r="N4" s="72">
        <v>-9.24</v>
      </c>
    </row>
    <row r="5" spans="1:14" x14ac:dyDescent="0.45">
      <c r="A5" s="61" t="s">
        <v>6</v>
      </c>
      <c r="F5" s="53" t="s">
        <v>39</v>
      </c>
      <c r="G5" s="54">
        <v>1.23</v>
      </c>
      <c r="H5" s="55">
        <v>2.69</v>
      </c>
      <c r="I5" s="54">
        <v>4.41</v>
      </c>
      <c r="J5" s="57">
        <f t="shared" si="0"/>
        <v>0.36749999999999999</v>
      </c>
      <c r="K5" s="65">
        <f t="shared" si="1"/>
        <v>0.86250000000000004</v>
      </c>
      <c r="L5" s="67">
        <f t="shared" si="2"/>
        <v>2.3224999999999998</v>
      </c>
      <c r="M5" s="69">
        <v>-8.43</v>
      </c>
      <c r="N5" s="72">
        <v>-9.24</v>
      </c>
    </row>
    <row r="6" spans="1:14" ht="14.65" thickBot="1" x14ac:dyDescent="0.5">
      <c r="A6" s="62">
        <f>INTERCEPT(K2:K120,L2:L120)</f>
        <v>-0.13157180730456219</v>
      </c>
      <c r="F6" s="53" t="s">
        <v>40</v>
      </c>
      <c r="G6" s="54">
        <v>3.96</v>
      </c>
      <c r="H6" s="55">
        <v>5.14</v>
      </c>
      <c r="I6" s="54">
        <v>4.42</v>
      </c>
      <c r="J6" s="57">
        <f t="shared" si="0"/>
        <v>0.36833333333333335</v>
      </c>
      <c r="K6" s="65">
        <f t="shared" si="1"/>
        <v>3.5916666666666668</v>
      </c>
      <c r="L6" s="67">
        <f t="shared" si="2"/>
        <v>4.7716666666666665</v>
      </c>
      <c r="M6" s="69">
        <v>-6.98</v>
      </c>
      <c r="N6" s="72">
        <v>-7.85</v>
      </c>
    </row>
    <row r="7" spans="1:14" x14ac:dyDescent="0.45">
      <c r="A7" s="60"/>
      <c r="F7" s="53" t="s">
        <v>41</v>
      </c>
      <c r="G7" s="54">
        <v>4.53</v>
      </c>
      <c r="H7" s="55">
        <v>6.28</v>
      </c>
      <c r="I7" s="54">
        <v>4.3600000000000003</v>
      </c>
      <c r="J7" s="57">
        <f t="shared" si="0"/>
        <v>0.36333333333333334</v>
      </c>
      <c r="K7" s="65">
        <f t="shared" si="1"/>
        <v>4.166666666666667</v>
      </c>
      <c r="L7" s="67">
        <f t="shared" si="2"/>
        <v>5.916666666666667</v>
      </c>
      <c r="M7" s="69">
        <v>-6.77</v>
      </c>
      <c r="N7" s="72">
        <v>-7.59</v>
      </c>
    </row>
    <row r="8" spans="1:14" ht="14.65" thickBot="1" x14ac:dyDescent="0.5">
      <c r="A8" s="63" t="s">
        <v>7</v>
      </c>
      <c r="F8" s="53" t="s">
        <v>42</v>
      </c>
      <c r="G8" s="54">
        <v>-0.3</v>
      </c>
      <c r="H8" s="55">
        <v>-0.87</v>
      </c>
      <c r="I8" s="54">
        <v>4.32</v>
      </c>
      <c r="J8" s="57">
        <f t="shared" si="0"/>
        <v>0.36000000000000004</v>
      </c>
      <c r="K8" s="65">
        <f t="shared" si="1"/>
        <v>-0.66</v>
      </c>
      <c r="L8" s="67">
        <f t="shared" si="2"/>
        <v>-1.23</v>
      </c>
      <c r="M8" s="69">
        <v>-6.64</v>
      </c>
      <c r="N8" s="72">
        <v>-7.42</v>
      </c>
    </row>
    <row r="9" spans="1:14" ht="14.65" thickBot="1" x14ac:dyDescent="0.5">
      <c r="A9" s="58">
        <f>SLOPE(K2:K120,L2:L120)</f>
        <v>0.8635835431342257</v>
      </c>
      <c r="F9" s="53" t="s">
        <v>43</v>
      </c>
      <c r="G9" s="54">
        <v>-3.59</v>
      </c>
      <c r="H9" s="55">
        <v>-5.57</v>
      </c>
      <c r="I9" s="54">
        <v>4.34</v>
      </c>
      <c r="J9" s="57">
        <f t="shared" si="0"/>
        <v>0.36166666666666664</v>
      </c>
      <c r="K9" s="65">
        <f t="shared" si="1"/>
        <v>-3.9516666666666667</v>
      </c>
      <c r="L9" s="67">
        <f t="shared" si="2"/>
        <v>-5.9316666666666666</v>
      </c>
      <c r="M9" s="69">
        <v>-6.37</v>
      </c>
      <c r="N9" s="72">
        <v>-7.32</v>
      </c>
    </row>
    <row r="10" spans="1:14" x14ac:dyDescent="0.45">
      <c r="F10" s="53" t="s">
        <v>44</v>
      </c>
      <c r="G10" s="54">
        <v>1.95</v>
      </c>
      <c r="H10" s="55">
        <v>-1.71</v>
      </c>
      <c r="I10" s="54">
        <v>4.33</v>
      </c>
      <c r="J10" s="57">
        <f t="shared" si="0"/>
        <v>0.36083333333333334</v>
      </c>
      <c r="K10" s="65">
        <f t="shared" si="1"/>
        <v>1.5891666666666666</v>
      </c>
      <c r="L10" s="67">
        <f t="shared" si="2"/>
        <v>-2.0708333333333333</v>
      </c>
      <c r="M10" s="69">
        <v>-6.17</v>
      </c>
      <c r="N10" s="72">
        <v>-6.16</v>
      </c>
    </row>
    <row r="11" spans="1:14" ht="14.65" thickBot="1" x14ac:dyDescent="0.5">
      <c r="A11" s="63" t="s">
        <v>158</v>
      </c>
      <c r="F11" s="53" t="s">
        <v>45</v>
      </c>
      <c r="G11" s="54">
        <v>4.72</v>
      </c>
      <c r="H11" s="55">
        <v>2.77</v>
      </c>
      <c r="I11" s="54">
        <v>4.3499999999999996</v>
      </c>
      <c r="J11" s="57">
        <f t="shared" si="0"/>
        <v>0.36249999999999999</v>
      </c>
      <c r="K11" s="65">
        <f t="shared" si="1"/>
        <v>4.3574999999999999</v>
      </c>
      <c r="L11" s="67">
        <f t="shared" si="2"/>
        <v>2.4075000000000002</v>
      </c>
      <c r="M11" s="69">
        <v>-6.14</v>
      </c>
      <c r="N11" s="72">
        <v>-5.57</v>
      </c>
    </row>
    <row r="12" spans="1:14" ht="14.65" thickBot="1" x14ac:dyDescent="0.5">
      <c r="A12" s="58">
        <f>A3/STDEV(G2:G120)</f>
        <v>0.25046033361697068</v>
      </c>
      <c r="F12" s="53" t="s">
        <v>46</v>
      </c>
      <c r="G12" s="54">
        <v>-3.74</v>
      </c>
      <c r="H12" s="55">
        <v>-2.0499999999999998</v>
      </c>
      <c r="I12" s="54">
        <v>4.41</v>
      </c>
      <c r="J12" s="57">
        <f t="shared" si="0"/>
        <v>0.36749999999999999</v>
      </c>
      <c r="K12" s="65">
        <f t="shared" si="1"/>
        <v>-4.1074999999999999</v>
      </c>
      <c r="L12" s="67">
        <f t="shared" si="2"/>
        <v>-2.4175</v>
      </c>
      <c r="M12" s="69">
        <v>-4.3099999999999996</v>
      </c>
      <c r="N12" s="72">
        <v>-4.67</v>
      </c>
    </row>
    <row r="13" spans="1:14" x14ac:dyDescent="0.45">
      <c r="F13" s="53" t="s">
        <v>47</v>
      </c>
      <c r="G13" s="54">
        <v>1.71</v>
      </c>
      <c r="H13" s="55">
        <v>3.74</v>
      </c>
      <c r="I13" s="54">
        <v>4.6399999999999997</v>
      </c>
      <c r="J13" s="57">
        <f t="shared" si="0"/>
        <v>0.38666666666666666</v>
      </c>
      <c r="K13" s="65">
        <f t="shared" si="1"/>
        <v>1.3233333333333333</v>
      </c>
      <c r="L13" s="67">
        <f t="shared" si="2"/>
        <v>3.3533333333333335</v>
      </c>
      <c r="M13" s="69">
        <v>-4.3</v>
      </c>
      <c r="N13" s="72">
        <v>-4.58</v>
      </c>
    </row>
    <row r="14" spans="1:14" ht="14.65" thickBot="1" x14ac:dyDescent="0.5">
      <c r="A14" s="63" t="s">
        <v>159</v>
      </c>
      <c r="B14" t="s">
        <v>160</v>
      </c>
      <c r="F14" s="53" t="s">
        <v>48</v>
      </c>
      <c r="G14" s="54">
        <v>-0.28999999999999998</v>
      </c>
      <c r="H14" s="55">
        <v>1.23</v>
      </c>
      <c r="I14" s="54">
        <v>4.7300000000000004</v>
      </c>
      <c r="J14" s="57">
        <f t="shared" si="0"/>
        <v>0.39416666666666672</v>
      </c>
      <c r="K14" s="65">
        <f t="shared" si="1"/>
        <v>-0.6841666666666667</v>
      </c>
      <c r="L14" s="67">
        <f t="shared" si="2"/>
        <v>0.83583333333333321</v>
      </c>
      <c r="M14" s="69">
        <v>-4.24</v>
      </c>
      <c r="N14" s="72">
        <v>-4.43</v>
      </c>
    </row>
    <row r="15" spans="1:14" ht="14.65" thickBot="1" x14ac:dyDescent="0.5">
      <c r="A15" s="58">
        <f>PERCENTILE(G2:G120,0.05)</f>
        <v>-6.6529999999999996</v>
      </c>
      <c r="F15" s="53" t="s">
        <v>49</v>
      </c>
      <c r="G15" s="54">
        <v>3.38</v>
      </c>
      <c r="H15" s="55">
        <v>3.08</v>
      </c>
      <c r="I15" s="54">
        <v>4.9800000000000004</v>
      </c>
      <c r="J15" s="57">
        <f t="shared" si="0"/>
        <v>0.41500000000000004</v>
      </c>
      <c r="K15" s="65">
        <f t="shared" si="1"/>
        <v>2.9649999999999999</v>
      </c>
      <c r="L15" s="67">
        <f t="shared" si="2"/>
        <v>2.665</v>
      </c>
      <c r="M15" s="69">
        <v>-3.74</v>
      </c>
      <c r="N15" s="72">
        <v>-4.29</v>
      </c>
    </row>
    <row r="16" spans="1:14" x14ac:dyDescent="0.45">
      <c r="F16" s="53" t="s">
        <v>50</v>
      </c>
      <c r="G16" s="54">
        <v>2.78</v>
      </c>
      <c r="H16" s="55">
        <v>2.4900000000000002</v>
      </c>
      <c r="I16" s="54">
        <v>5.32</v>
      </c>
      <c r="J16" s="57">
        <f t="shared" si="0"/>
        <v>0.44333333333333336</v>
      </c>
      <c r="K16" s="65">
        <f t="shared" si="1"/>
        <v>2.3366666666666664</v>
      </c>
      <c r="L16" s="67">
        <f t="shared" si="2"/>
        <v>2.0466666666666669</v>
      </c>
      <c r="M16" s="69">
        <v>-3.59</v>
      </c>
      <c r="N16" s="72">
        <v>-4.17</v>
      </c>
    </row>
    <row r="17" spans="1:14" ht="14.65" thickBot="1" x14ac:dyDescent="0.5">
      <c r="A17" s="63" t="s">
        <v>8</v>
      </c>
      <c r="F17" s="53" t="s">
        <v>51</v>
      </c>
      <c r="G17" s="54">
        <v>0.28999999999999998</v>
      </c>
      <c r="H17" s="55">
        <v>0.1</v>
      </c>
      <c r="I17" s="54">
        <v>5.44</v>
      </c>
      <c r="J17" s="57">
        <f t="shared" si="0"/>
        <v>0.45333333333333337</v>
      </c>
      <c r="K17" s="65">
        <f t="shared" si="1"/>
        <v>-0.16333333333333339</v>
      </c>
      <c r="L17" s="67">
        <f t="shared" si="2"/>
        <v>-0.35333333333333339</v>
      </c>
      <c r="M17" s="69">
        <v>-3.47</v>
      </c>
      <c r="N17" s="72">
        <v>-3.97</v>
      </c>
    </row>
    <row r="18" spans="1:14" ht="14.65" thickBot="1" x14ac:dyDescent="0.5">
      <c r="A18" s="58">
        <f>AVERAGE(M2:M7)</f>
        <v>-8.1916666666666647</v>
      </c>
      <c r="F18" s="53" t="s">
        <v>52</v>
      </c>
      <c r="G18" s="54">
        <v>1.57</v>
      </c>
      <c r="H18" s="55">
        <v>3.05</v>
      </c>
      <c r="I18" s="54">
        <v>5.5</v>
      </c>
      <c r="J18" s="57">
        <f t="shared" si="0"/>
        <v>0.45833333333333331</v>
      </c>
      <c r="K18" s="65">
        <f t="shared" si="1"/>
        <v>1.1116666666666668</v>
      </c>
      <c r="L18" s="67">
        <f t="shared" si="2"/>
        <v>2.5916666666666663</v>
      </c>
      <c r="M18" s="69">
        <v>-3.35</v>
      </c>
      <c r="N18" s="72">
        <v>-3.79</v>
      </c>
    </row>
    <row r="19" spans="1:14" x14ac:dyDescent="0.45">
      <c r="F19" s="53" t="s">
        <v>53</v>
      </c>
      <c r="G19" s="54">
        <v>2.38</v>
      </c>
      <c r="H19" s="55">
        <v>3.87</v>
      </c>
      <c r="I19" s="54">
        <v>5.45</v>
      </c>
      <c r="J19" s="57">
        <f t="shared" si="0"/>
        <v>0.45416666666666666</v>
      </c>
      <c r="K19" s="65">
        <f t="shared" si="1"/>
        <v>1.9258333333333333</v>
      </c>
      <c r="L19" s="67">
        <f t="shared" si="2"/>
        <v>3.4158333333333335</v>
      </c>
      <c r="M19" s="69">
        <v>-3.17</v>
      </c>
      <c r="N19" s="72">
        <v>-3.48</v>
      </c>
    </row>
    <row r="20" spans="1:14" x14ac:dyDescent="0.45">
      <c r="F20" s="53" t="s">
        <v>54</v>
      </c>
      <c r="G20" s="54">
        <v>-2.42</v>
      </c>
      <c r="H20" s="55">
        <v>-2.4900000000000002</v>
      </c>
      <c r="I20" s="54">
        <v>5.44</v>
      </c>
      <c r="J20" s="57">
        <f t="shared" si="0"/>
        <v>0.45333333333333337</v>
      </c>
      <c r="K20" s="65">
        <f t="shared" si="1"/>
        <v>-2.8733333333333331</v>
      </c>
      <c r="L20" s="67">
        <f t="shared" si="2"/>
        <v>-2.9433333333333334</v>
      </c>
      <c r="M20" s="69">
        <v>-3.17</v>
      </c>
      <c r="N20" s="72">
        <v>-3.1</v>
      </c>
    </row>
    <row r="21" spans="1:14" ht="18.399999999999999" thickBot="1" x14ac:dyDescent="0.6">
      <c r="A21" s="73" t="s">
        <v>163</v>
      </c>
      <c r="F21" s="53" t="s">
        <v>55</v>
      </c>
      <c r="G21" s="54">
        <v>3.13</v>
      </c>
      <c r="H21" s="55">
        <v>3.64</v>
      </c>
      <c r="I21" s="54">
        <v>5.47</v>
      </c>
      <c r="J21" s="57">
        <f t="shared" si="0"/>
        <v>0.45583333333333331</v>
      </c>
      <c r="K21" s="65">
        <f t="shared" si="1"/>
        <v>2.6741666666666664</v>
      </c>
      <c r="L21" s="67">
        <f t="shared" si="2"/>
        <v>3.184166666666667</v>
      </c>
      <c r="M21" s="69">
        <v>-2.97</v>
      </c>
      <c r="N21" s="72">
        <v>-3.02</v>
      </c>
    </row>
    <row r="22" spans="1:14" ht="14.65" thickBot="1" x14ac:dyDescent="0.5">
      <c r="A22" s="74" t="s">
        <v>157</v>
      </c>
      <c r="F22" s="53" t="s">
        <v>56</v>
      </c>
      <c r="G22" s="54">
        <v>2.2599999999999998</v>
      </c>
      <c r="H22" s="55">
        <v>3.05</v>
      </c>
      <c r="I22" s="54">
        <v>5.44</v>
      </c>
      <c r="J22" s="57">
        <f t="shared" si="0"/>
        <v>0.45333333333333337</v>
      </c>
      <c r="K22" s="65">
        <f t="shared" si="1"/>
        <v>1.8066666666666664</v>
      </c>
      <c r="L22" s="67">
        <f t="shared" si="2"/>
        <v>2.5966666666666667</v>
      </c>
      <c r="M22" s="69">
        <v>-2.96</v>
      </c>
      <c r="N22" s="72">
        <v>-2.87</v>
      </c>
    </row>
    <row r="23" spans="1:14" ht="14.65" thickBot="1" x14ac:dyDescent="0.5">
      <c r="A23" s="58">
        <f>AVERAGE(H2:H120)</f>
        <v>1.2321008403361342</v>
      </c>
      <c r="F23" s="53" t="s">
        <v>57</v>
      </c>
      <c r="G23" s="54">
        <v>2.16</v>
      </c>
      <c r="H23" s="55">
        <v>3.06</v>
      </c>
      <c r="I23" s="54">
        <v>5.46</v>
      </c>
      <c r="J23" s="57">
        <f t="shared" si="0"/>
        <v>0.45500000000000002</v>
      </c>
      <c r="K23" s="65">
        <f t="shared" si="1"/>
        <v>1.7050000000000001</v>
      </c>
      <c r="L23" s="67">
        <f t="shared" si="2"/>
        <v>2.605</v>
      </c>
      <c r="M23" s="69">
        <v>-2.77</v>
      </c>
      <c r="N23" s="72">
        <v>-2.66</v>
      </c>
    </row>
    <row r="24" spans="1:14" ht="14.65" thickBot="1" x14ac:dyDescent="0.5">
      <c r="A24" s="60"/>
      <c r="F24" s="53" t="s">
        <v>58</v>
      </c>
      <c r="G24" s="54">
        <v>5.52</v>
      </c>
      <c r="H24" s="55">
        <v>5.21</v>
      </c>
      <c r="I24" s="54">
        <v>5.45</v>
      </c>
      <c r="J24" s="57">
        <f t="shared" si="0"/>
        <v>0.45416666666666666</v>
      </c>
      <c r="K24" s="65">
        <f t="shared" si="1"/>
        <v>5.065833333333333</v>
      </c>
      <c r="L24" s="67">
        <f t="shared" si="2"/>
        <v>4.7558333333333334</v>
      </c>
      <c r="M24" s="69">
        <v>-2.67</v>
      </c>
      <c r="N24" s="72">
        <v>-2.4900000000000002</v>
      </c>
    </row>
    <row r="25" spans="1:14" x14ac:dyDescent="0.45">
      <c r="A25" s="75" t="s">
        <v>6</v>
      </c>
      <c r="F25" s="53" t="s">
        <v>59</v>
      </c>
      <c r="G25" s="54">
        <v>8.42</v>
      </c>
      <c r="H25" s="55">
        <v>9.4700000000000006</v>
      </c>
      <c r="I25" s="54">
        <v>5.54</v>
      </c>
      <c r="J25" s="57">
        <f t="shared" si="0"/>
        <v>0.46166666666666667</v>
      </c>
      <c r="K25" s="65">
        <f t="shared" si="1"/>
        <v>7.958333333333333</v>
      </c>
      <c r="L25" s="67">
        <f t="shared" si="2"/>
        <v>9.0083333333333346</v>
      </c>
      <c r="M25" s="69">
        <v>-2.4900000000000002</v>
      </c>
      <c r="N25" s="72">
        <v>-2.25</v>
      </c>
    </row>
    <row r="26" spans="1:14" ht="14.65" thickBot="1" x14ac:dyDescent="0.5">
      <c r="A26" s="62">
        <v>0</v>
      </c>
      <c r="F26" s="53" t="s">
        <v>60</v>
      </c>
      <c r="G26" s="54">
        <v>-2.97</v>
      </c>
      <c r="H26" s="55">
        <v>-3.02</v>
      </c>
      <c r="I26" s="54">
        <v>5.6</v>
      </c>
      <c r="J26" s="57">
        <f t="shared" si="0"/>
        <v>0.46666666666666662</v>
      </c>
      <c r="K26" s="65">
        <f t="shared" si="1"/>
        <v>-3.436666666666667</v>
      </c>
      <c r="L26" s="67">
        <f t="shared" si="2"/>
        <v>-3.4866666666666668</v>
      </c>
      <c r="M26" s="69">
        <v>-2.42</v>
      </c>
      <c r="N26" s="72">
        <v>-2.0499999999999998</v>
      </c>
    </row>
    <row r="27" spans="1:14" x14ac:dyDescent="0.45">
      <c r="A27" s="60"/>
      <c r="F27" s="53" t="s">
        <v>61</v>
      </c>
      <c r="G27" s="54">
        <v>-2.96</v>
      </c>
      <c r="H27" s="55">
        <v>-2.87</v>
      </c>
      <c r="I27" s="54">
        <v>5.56</v>
      </c>
      <c r="J27" s="57">
        <f t="shared" si="0"/>
        <v>0.46333333333333332</v>
      </c>
      <c r="K27" s="65">
        <f t="shared" si="1"/>
        <v>-3.4233333333333333</v>
      </c>
      <c r="L27" s="67">
        <f t="shared" si="2"/>
        <v>-3.3333333333333335</v>
      </c>
      <c r="M27" s="69">
        <v>-2.0299999999999998</v>
      </c>
      <c r="N27" s="72">
        <v>-1.89</v>
      </c>
    </row>
    <row r="28" spans="1:14" ht="14.65" thickBot="1" x14ac:dyDescent="0.5">
      <c r="A28" s="76" t="s">
        <v>7</v>
      </c>
      <c r="F28" s="53" t="s">
        <v>62</v>
      </c>
      <c r="G28" s="54">
        <v>-3.35</v>
      </c>
      <c r="H28" s="55">
        <v>-3.1</v>
      </c>
      <c r="I28" s="54">
        <v>5.55</v>
      </c>
      <c r="J28" s="57">
        <f t="shared" si="0"/>
        <v>0.46249999999999997</v>
      </c>
      <c r="K28" s="65">
        <f t="shared" si="1"/>
        <v>-3.8125</v>
      </c>
      <c r="L28" s="67">
        <f t="shared" si="2"/>
        <v>-3.5625</v>
      </c>
      <c r="M28" s="69">
        <v>-1.79</v>
      </c>
      <c r="N28" s="72">
        <v>-1.71</v>
      </c>
    </row>
    <row r="29" spans="1:14" ht="14.65" thickBot="1" x14ac:dyDescent="0.5">
      <c r="A29" s="58">
        <v>1</v>
      </c>
      <c r="F29" s="53" t="s">
        <v>63</v>
      </c>
      <c r="G29" s="54">
        <v>4.38</v>
      </c>
      <c r="H29" s="55">
        <v>4.7</v>
      </c>
      <c r="I29" s="54">
        <v>5.48</v>
      </c>
      <c r="J29" s="57">
        <f t="shared" si="0"/>
        <v>0.45666666666666672</v>
      </c>
      <c r="K29" s="65">
        <f t="shared" si="1"/>
        <v>3.9233333333333333</v>
      </c>
      <c r="L29" s="67">
        <f t="shared" si="2"/>
        <v>4.2433333333333332</v>
      </c>
      <c r="M29" s="69">
        <v>-1.5</v>
      </c>
      <c r="N29" s="72">
        <v>-1.2</v>
      </c>
    </row>
    <row r="30" spans="1:14" x14ac:dyDescent="0.45">
      <c r="F30" s="53" t="s">
        <v>64</v>
      </c>
      <c r="G30" s="54">
        <v>3.62</v>
      </c>
      <c r="H30" s="55">
        <v>4.24</v>
      </c>
      <c r="I30" s="54">
        <v>5.42</v>
      </c>
      <c r="J30" s="57">
        <f t="shared" si="0"/>
        <v>0.45166666666666666</v>
      </c>
      <c r="K30" s="65">
        <f t="shared" si="1"/>
        <v>3.1683333333333334</v>
      </c>
      <c r="L30" s="67">
        <f t="shared" si="2"/>
        <v>3.7883333333333336</v>
      </c>
      <c r="M30" s="69">
        <v>-1.43</v>
      </c>
      <c r="N30" s="72">
        <v>-1.08</v>
      </c>
    </row>
    <row r="31" spans="1:14" ht="14.65" thickBot="1" x14ac:dyDescent="0.5">
      <c r="A31" s="76" t="s">
        <v>158</v>
      </c>
      <c r="F31" s="53" t="s">
        <v>65</v>
      </c>
      <c r="G31" s="54">
        <v>-1.5</v>
      </c>
      <c r="H31" s="55">
        <v>1.02</v>
      </c>
      <c r="I31" s="54">
        <v>5.27</v>
      </c>
      <c r="J31" s="57">
        <f t="shared" si="0"/>
        <v>0.43916666666666665</v>
      </c>
      <c r="K31" s="65">
        <f t="shared" si="1"/>
        <v>-1.9391666666666667</v>
      </c>
      <c r="L31" s="67">
        <f t="shared" si="2"/>
        <v>0.58083333333333331</v>
      </c>
      <c r="M31" s="69">
        <v>-0.99</v>
      </c>
      <c r="N31" s="72">
        <v>-1.08</v>
      </c>
    </row>
    <row r="32" spans="1:14" ht="14.65" thickBot="1" x14ac:dyDescent="0.5">
      <c r="A32" s="58">
        <f>A23/STDEV(H2:H120)</f>
        <v>0.29176689408412348</v>
      </c>
      <c r="F32" s="53" t="s">
        <v>66</v>
      </c>
      <c r="G32" s="54">
        <v>4.08</v>
      </c>
      <c r="H32" s="55">
        <v>5.14</v>
      </c>
      <c r="I32" s="54">
        <v>5.04</v>
      </c>
      <c r="J32" s="57">
        <f t="shared" si="0"/>
        <v>0.42</v>
      </c>
      <c r="K32" s="65">
        <f t="shared" si="1"/>
        <v>3.66</v>
      </c>
      <c r="L32" s="67">
        <f t="shared" si="2"/>
        <v>4.72</v>
      </c>
      <c r="M32" s="69">
        <v>-0.96</v>
      </c>
      <c r="N32" s="72">
        <v>-0.95</v>
      </c>
    </row>
    <row r="33" spans="1:14" x14ac:dyDescent="0.45">
      <c r="F33" s="53" t="s">
        <v>67</v>
      </c>
      <c r="G33" s="54">
        <v>0.48</v>
      </c>
      <c r="H33" s="55">
        <v>0.21</v>
      </c>
      <c r="I33" s="54">
        <v>4.8600000000000003</v>
      </c>
      <c r="J33" s="57">
        <f t="shared" si="0"/>
        <v>0.40500000000000003</v>
      </c>
      <c r="K33" s="65">
        <f t="shared" si="1"/>
        <v>7.4999999999999956E-2</v>
      </c>
      <c r="L33" s="67">
        <f t="shared" si="2"/>
        <v>-0.19500000000000003</v>
      </c>
      <c r="M33" s="69">
        <v>-0.33</v>
      </c>
      <c r="N33" s="72">
        <v>-0.87</v>
      </c>
    </row>
    <row r="34" spans="1:14" ht="14.65" thickBot="1" x14ac:dyDescent="0.5">
      <c r="A34" s="76" t="s">
        <v>159</v>
      </c>
      <c r="F34" s="53" t="s">
        <v>68</v>
      </c>
      <c r="G34" s="54">
        <v>-2.77</v>
      </c>
      <c r="H34" s="55">
        <v>-1.08</v>
      </c>
      <c r="I34" s="54">
        <v>4.7699999999999996</v>
      </c>
      <c r="J34" s="57">
        <f t="shared" si="0"/>
        <v>0.39749999999999996</v>
      </c>
      <c r="K34" s="65">
        <f t="shared" si="1"/>
        <v>-3.1675</v>
      </c>
      <c r="L34" s="67">
        <f t="shared" si="2"/>
        <v>-1.4775</v>
      </c>
      <c r="M34" s="69">
        <v>-0.3</v>
      </c>
      <c r="N34" s="72">
        <v>-0.85</v>
      </c>
    </row>
    <row r="35" spans="1:14" ht="14.65" thickBot="1" x14ac:dyDescent="0.5">
      <c r="A35" s="58">
        <f>PERCENTILE(H2:H120,0.05)</f>
        <v>-7.4370000000000003</v>
      </c>
      <c r="F35" s="53" t="s">
        <v>69</v>
      </c>
      <c r="G35" s="54">
        <v>7.04</v>
      </c>
      <c r="H35" s="55">
        <v>6.35</v>
      </c>
      <c r="I35" s="54">
        <v>4.6399999999999997</v>
      </c>
      <c r="J35" s="57">
        <f t="shared" si="0"/>
        <v>0.38666666666666666</v>
      </c>
      <c r="K35" s="65">
        <f t="shared" si="1"/>
        <v>6.6533333333333333</v>
      </c>
      <c r="L35" s="67">
        <f t="shared" si="2"/>
        <v>5.9633333333333329</v>
      </c>
      <c r="M35" s="69">
        <v>-0.28999999999999998</v>
      </c>
      <c r="N35" s="72">
        <v>-0.28999999999999998</v>
      </c>
    </row>
    <row r="36" spans="1:14" x14ac:dyDescent="0.45">
      <c r="F36" s="53" t="s">
        <v>70</v>
      </c>
      <c r="G36" s="54">
        <v>-1.43</v>
      </c>
      <c r="H36" s="55">
        <v>-4.43</v>
      </c>
      <c r="I36" s="54">
        <v>4.3499999999999996</v>
      </c>
      <c r="J36" s="57">
        <f t="shared" si="0"/>
        <v>0.36249999999999999</v>
      </c>
      <c r="K36" s="65">
        <f t="shared" si="1"/>
        <v>-1.7925</v>
      </c>
      <c r="L36" s="67">
        <f t="shared" si="2"/>
        <v>-4.7924999999999995</v>
      </c>
      <c r="M36" s="69">
        <v>0.26</v>
      </c>
      <c r="N36" s="72">
        <v>-0.05</v>
      </c>
    </row>
    <row r="37" spans="1:14" ht="14.65" thickBot="1" x14ac:dyDescent="0.5">
      <c r="A37" s="76" t="s">
        <v>8</v>
      </c>
      <c r="F37" s="53" t="s">
        <v>71</v>
      </c>
      <c r="G37" s="54">
        <v>5.67</v>
      </c>
      <c r="H37" s="55">
        <v>1.77</v>
      </c>
      <c r="I37" s="54">
        <v>4.29</v>
      </c>
      <c r="J37" s="57">
        <f t="shared" si="0"/>
        <v>0.35749999999999998</v>
      </c>
      <c r="K37" s="65">
        <f t="shared" si="1"/>
        <v>5.3125</v>
      </c>
      <c r="L37" s="67">
        <f t="shared" si="2"/>
        <v>1.4125000000000001</v>
      </c>
      <c r="M37" s="69">
        <v>0.28999999999999998</v>
      </c>
      <c r="N37" s="72">
        <v>0.1</v>
      </c>
    </row>
    <row r="38" spans="1:14" ht="14.65" thickBot="1" x14ac:dyDescent="0.5">
      <c r="A38" s="58">
        <f>AVERAGE(N2:N7)</f>
        <v>-9.0750000000000011</v>
      </c>
      <c r="F38" s="53" t="s">
        <v>72</v>
      </c>
      <c r="G38" s="54">
        <v>4.24</v>
      </c>
      <c r="H38" s="55">
        <v>4.99</v>
      </c>
      <c r="I38" s="54">
        <v>3.74</v>
      </c>
      <c r="J38" s="57">
        <f t="shared" si="0"/>
        <v>0.3116666666666667</v>
      </c>
      <c r="K38" s="65">
        <f t="shared" si="1"/>
        <v>3.9283333333333337</v>
      </c>
      <c r="L38" s="67">
        <f t="shared" si="2"/>
        <v>4.6783333333333337</v>
      </c>
      <c r="M38" s="69">
        <v>0.34</v>
      </c>
      <c r="N38" s="72">
        <v>0.21</v>
      </c>
    </row>
    <row r="39" spans="1:14" x14ac:dyDescent="0.45">
      <c r="F39" s="53" t="s">
        <v>73</v>
      </c>
      <c r="G39" s="54">
        <v>-8.43</v>
      </c>
      <c r="H39" s="55">
        <v>-7.59</v>
      </c>
      <c r="I39" s="54">
        <v>3.15</v>
      </c>
      <c r="J39" s="57">
        <f t="shared" si="0"/>
        <v>0.26250000000000001</v>
      </c>
      <c r="K39" s="65">
        <f t="shared" si="1"/>
        <v>-8.692499999999999</v>
      </c>
      <c r="L39" s="67">
        <f t="shared" si="2"/>
        <v>-7.8525</v>
      </c>
      <c r="M39" s="69">
        <v>0.36</v>
      </c>
      <c r="N39" s="72">
        <v>0.63</v>
      </c>
    </row>
    <row r="40" spans="1:14" x14ac:dyDescent="0.45">
      <c r="F40" s="53" t="s">
        <v>74</v>
      </c>
      <c r="G40" s="54">
        <v>-2.0299999999999998</v>
      </c>
      <c r="H40" s="55">
        <v>-0.85</v>
      </c>
      <c r="I40" s="54">
        <v>2.65</v>
      </c>
      <c r="J40" s="57">
        <f t="shared" si="0"/>
        <v>0.22083333333333333</v>
      </c>
      <c r="K40" s="65">
        <f t="shared" si="1"/>
        <v>-2.250833333333333</v>
      </c>
      <c r="L40" s="67">
        <f t="shared" si="2"/>
        <v>-1.0708333333333333</v>
      </c>
      <c r="M40" s="69">
        <v>0.45</v>
      </c>
      <c r="N40" s="72">
        <v>0.73</v>
      </c>
    </row>
    <row r="41" spans="1:14" x14ac:dyDescent="0.45">
      <c r="F41" s="53" t="s">
        <v>75</v>
      </c>
      <c r="G41" s="54">
        <v>3.57</v>
      </c>
      <c r="H41" s="55">
        <v>6.68</v>
      </c>
      <c r="I41" s="54">
        <v>2.19</v>
      </c>
      <c r="J41" s="57">
        <f t="shared" si="0"/>
        <v>0.1825</v>
      </c>
      <c r="K41" s="65">
        <f t="shared" si="1"/>
        <v>3.3874999999999997</v>
      </c>
      <c r="L41" s="67">
        <f t="shared" si="2"/>
        <v>6.4974999999999996</v>
      </c>
      <c r="M41" s="69">
        <v>0.48</v>
      </c>
      <c r="N41" s="72">
        <v>0.73</v>
      </c>
    </row>
    <row r="42" spans="1:14" x14ac:dyDescent="0.45">
      <c r="F42" s="53" t="s">
        <v>76</v>
      </c>
      <c r="G42" s="54">
        <v>-6.14</v>
      </c>
      <c r="H42" s="55">
        <v>-7.42</v>
      </c>
      <c r="I42" s="54">
        <v>1.46</v>
      </c>
      <c r="J42" s="57">
        <f t="shared" si="0"/>
        <v>0.12166666666666666</v>
      </c>
      <c r="K42" s="65">
        <f t="shared" si="1"/>
        <v>-6.2616666666666667</v>
      </c>
      <c r="L42" s="67">
        <f t="shared" si="2"/>
        <v>-7.541666666666667</v>
      </c>
      <c r="M42" s="69">
        <v>0.55000000000000004</v>
      </c>
      <c r="N42" s="72">
        <v>0.92</v>
      </c>
    </row>
    <row r="43" spans="1:14" x14ac:dyDescent="0.45">
      <c r="F43" s="53" t="s">
        <v>77</v>
      </c>
      <c r="G43" s="54">
        <v>-0.99</v>
      </c>
      <c r="H43" s="55">
        <v>-3.48</v>
      </c>
      <c r="I43" s="54">
        <v>0.96</v>
      </c>
      <c r="J43" s="57">
        <f t="shared" si="0"/>
        <v>0.08</v>
      </c>
      <c r="K43" s="65">
        <f t="shared" si="1"/>
        <v>-1.07</v>
      </c>
      <c r="L43" s="67">
        <f t="shared" si="2"/>
        <v>-3.56</v>
      </c>
      <c r="M43" s="69">
        <v>0.56999999999999995</v>
      </c>
      <c r="N43" s="72">
        <v>0.93</v>
      </c>
    </row>
    <row r="44" spans="1:14" x14ac:dyDescent="0.45">
      <c r="F44" s="53" t="s">
        <v>78</v>
      </c>
      <c r="G44" s="54">
        <v>-6.17</v>
      </c>
      <c r="H44" s="55">
        <v>-6.16</v>
      </c>
      <c r="I44" s="54">
        <v>0.71</v>
      </c>
      <c r="J44" s="57">
        <f t="shared" si="0"/>
        <v>5.9166666666666666E-2</v>
      </c>
      <c r="K44" s="65">
        <f t="shared" si="1"/>
        <v>-6.229166666666667</v>
      </c>
      <c r="L44" s="67">
        <f t="shared" si="2"/>
        <v>-6.2191666666666672</v>
      </c>
      <c r="M44" s="69">
        <v>0.59</v>
      </c>
      <c r="N44" s="72">
        <v>1.02</v>
      </c>
    </row>
    <row r="45" spans="1:14" x14ac:dyDescent="0.45">
      <c r="F45" s="53" t="s">
        <v>79</v>
      </c>
      <c r="G45" s="54">
        <v>2.09</v>
      </c>
      <c r="H45" s="55">
        <v>4.74</v>
      </c>
      <c r="I45" s="54">
        <v>0.42</v>
      </c>
      <c r="J45" s="57">
        <f t="shared" si="0"/>
        <v>3.4999999999999996E-2</v>
      </c>
      <c r="K45" s="65">
        <f t="shared" si="1"/>
        <v>2.0549999999999997</v>
      </c>
      <c r="L45" s="67">
        <f t="shared" si="2"/>
        <v>4.7050000000000001</v>
      </c>
      <c r="M45" s="69">
        <v>0.59</v>
      </c>
      <c r="N45" s="72">
        <v>1.1499999999999999</v>
      </c>
    </row>
    <row r="46" spans="1:14" x14ac:dyDescent="0.45">
      <c r="F46" s="53" t="s">
        <v>80</v>
      </c>
      <c r="G46" s="54">
        <v>-2.4900000000000002</v>
      </c>
      <c r="H46" s="55">
        <v>-1.2</v>
      </c>
      <c r="I46" s="54">
        <v>0.3</v>
      </c>
      <c r="J46" s="57">
        <f t="shared" si="0"/>
        <v>2.4999999999999998E-2</v>
      </c>
      <c r="K46" s="65">
        <f t="shared" si="1"/>
        <v>-2.5150000000000001</v>
      </c>
      <c r="L46" s="67">
        <f t="shared" si="2"/>
        <v>-1.2249999999999999</v>
      </c>
      <c r="M46" s="69">
        <v>0.62</v>
      </c>
      <c r="N46" s="72">
        <v>1.1499999999999999</v>
      </c>
    </row>
    <row r="47" spans="1:14" x14ac:dyDescent="0.45">
      <c r="F47" s="53" t="s">
        <v>81</v>
      </c>
      <c r="G47" s="54">
        <v>-6.77</v>
      </c>
      <c r="H47" s="55">
        <v>-7.32</v>
      </c>
      <c r="I47" s="54">
        <v>0.12</v>
      </c>
      <c r="J47" s="57">
        <f t="shared" si="0"/>
        <v>0.01</v>
      </c>
      <c r="K47" s="65">
        <f t="shared" si="1"/>
        <v>-6.7799999999999994</v>
      </c>
      <c r="L47" s="67">
        <f t="shared" si="2"/>
        <v>-7.33</v>
      </c>
      <c r="M47" s="69">
        <v>0.62</v>
      </c>
      <c r="N47" s="72">
        <v>1.17</v>
      </c>
    </row>
    <row r="48" spans="1:14" x14ac:dyDescent="0.45">
      <c r="F48" s="53" t="s">
        <v>82</v>
      </c>
      <c r="G48" s="54">
        <v>1.41</v>
      </c>
      <c r="H48" s="55">
        <v>3</v>
      </c>
      <c r="I48" s="54">
        <v>0.06</v>
      </c>
      <c r="J48" s="57">
        <f t="shared" si="0"/>
        <v>5.0000000000000001E-3</v>
      </c>
      <c r="K48" s="65">
        <f t="shared" si="1"/>
        <v>1.405</v>
      </c>
      <c r="L48" s="67">
        <f t="shared" si="2"/>
        <v>2.9950000000000001</v>
      </c>
      <c r="M48" s="69">
        <v>0.73</v>
      </c>
      <c r="N48" s="72">
        <v>1.17</v>
      </c>
    </row>
    <row r="49" spans="6:14" x14ac:dyDescent="0.45">
      <c r="F49" s="53" t="s">
        <v>83</v>
      </c>
      <c r="G49" s="54">
        <v>-0.96</v>
      </c>
      <c r="H49" s="55">
        <v>1.37</v>
      </c>
      <c r="I49" s="54">
        <v>0.05</v>
      </c>
      <c r="J49" s="57">
        <f t="shared" si="0"/>
        <v>4.1666666666666666E-3</v>
      </c>
      <c r="K49" s="65">
        <f t="shared" si="1"/>
        <v>-0.96416666666666662</v>
      </c>
      <c r="L49" s="67">
        <f t="shared" si="2"/>
        <v>1.3658333333333335</v>
      </c>
      <c r="M49" s="69">
        <v>0.81</v>
      </c>
      <c r="N49" s="72">
        <v>1.23</v>
      </c>
    </row>
    <row r="50" spans="6:14" x14ac:dyDescent="0.45">
      <c r="F50" s="53" t="s">
        <v>84</v>
      </c>
      <c r="G50" s="54">
        <v>5.08</v>
      </c>
      <c r="H50" s="55">
        <v>5.67</v>
      </c>
      <c r="I50" s="54">
        <v>0.05</v>
      </c>
      <c r="J50" s="57">
        <f t="shared" si="0"/>
        <v>4.1666666666666666E-3</v>
      </c>
      <c r="K50" s="65">
        <f t="shared" si="1"/>
        <v>5.0758333333333336</v>
      </c>
      <c r="L50" s="67">
        <f t="shared" si="2"/>
        <v>5.6658333333333335</v>
      </c>
      <c r="M50" s="69">
        <v>1.06</v>
      </c>
      <c r="N50" s="72">
        <v>1.32</v>
      </c>
    </row>
    <row r="51" spans="6:14" x14ac:dyDescent="0.45">
      <c r="F51" s="53" t="s">
        <v>85</v>
      </c>
      <c r="G51" s="54">
        <v>-4.3</v>
      </c>
      <c r="H51" s="55">
        <v>-3.79</v>
      </c>
      <c r="I51" s="54">
        <v>0.04</v>
      </c>
      <c r="J51" s="57">
        <f t="shared" si="0"/>
        <v>3.3333333333333335E-3</v>
      </c>
      <c r="K51" s="65">
        <f t="shared" si="1"/>
        <v>-4.3033333333333328</v>
      </c>
      <c r="L51" s="67">
        <f t="shared" si="2"/>
        <v>-3.7933333333333334</v>
      </c>
      <c r="M51" s="69">
        <v>1.07</v>
      </c>
      <c r="N51" s="72">
        <v>1.37</v>
      </c>
    </row>
    <row r="52" spans="6:14" x14ac:dyDescent="0.45">
      <c r="F52" s="53" t="s">
        <v>86</v>
      </c>
      <c r="G52" s="54">
        <v>1.9</v>
      </c>
      <c r="H52" s="55">
        <v>3.05</v>
      </c>
      <c r="I52" s="54">
        <v>0.06</v>
      </c>
      <c r="J52" s="57">
        <f t="shared" si="0"/>
        <v>5.0000000000000001E-3</v>
      </c>
      <c r="K52" s="65">
        <f t="shared" si="1"/>
        <v>1.895</v>
      </c>
      <c r="L52" s="67">
        <f t="shared" si="2"/>
        <v>3.0449999999999999</v>
      </c>
      <c r="M52" s="69">
        <v>1.18</v>
      </c>
      <c r="N52" s="72">
        <v>1.4</v>
      </c>
    </row>
    <row r="53" spans="6:14" x14ac:dyDescent="0.45">
      <c r="F53" s="53" t="s">
        <v>87</v>
      </c>
      <c r="G53" s="54">
        <v>0.59</v>
      </c>
      <c r="H53" s="55">
        <v>2.66</v>
      </c>
      <c r="I53" s="54">
        <v>0.05</v>
      </c>
      <c r="J53" s="57">
        <f t="shared" si="0"/>
        <v>4.1666666666666666E-3</v>
      </c>
      <c r="K53" s="65">
        <f t="shared" si="1"/>
        <v>0.58583333333333332</v>
      </c>
      <c r="L53" s="67">
        <f t="shared" si="2"/>
        <v>2.6558333333333333</v>
      </c>
      <c r="M53" s="69">
        <v>1.23</v>
      </c>
      <c r="N53" s="72">
        <v>1.4</v>
      </c>
    </row>
    <row r="54" spans="6:14" x14ac:dyDescent="0.45">
      <c r="F54" s="53" t="s">
        <v>88</v>
      </c>
      <c r="G54" s="54">
        <v>1.45</v>
      </c>
      <c r="H54" s="55">
        <v>2.1</v>
      </c>
      <c r="I54" s="54">
        <v>0.03</v>
      </c>
      <c r="J54" s="57">
        <f t="shared" si="0"/>
        <v>2.5000000000000001E-3</v>
      </c>
      <c r="K54" s="65">
        <f t="shared" si="1"/>
        <v>1.4475</v>
      </c>
      <c r="L54" s="67">
        <f t="shared" si="2"/>
        <v>2.0975000000000001</v>
      </c>
      <c r="M54" s="69">
        <v>1.38</v>
      </c>
      <c r="N54" s="72">
        <v>1.44</v>
      </c>
    </row>
    <row r="55" spans="6:14" x14ac:dyDescent="0.45">
      <c r="F55" s="53" t="s">
        <v>89</v>
      </c>
      <c r="G55" s="54">
        <v>1.06</v>
      </c>
      <c r="H55" s="55">
        <v>0.63</v>
      </c>
      <c r="I55" s="54">
        <v>0.02</v>
      </c>
      <c r="J55" s="57">
        <f t="shared" si="0"/>
        <v>1.6666666666666668E-3</v>
      </c>
      <c r="K55" s="65">
        <f t="shared" si="1"/>
        <v>1.0583333333333333</v>
      </c>
      <c r="L55" s="67">
        <f t="shared" si="2"/>
        <v>0.6283333333333333</v>
      </c>
      <c r="M55" s="69">
        <v>1.39</v>
      </c>
      <c r="N55" s="72">
        <v>1.47</v>
      </c>
    </row>
    <row r="56" spans="6:14" x14ac:dyDescent="0.45">
      <c r="F56" s="53" t="s">
        <v>90</v>
      </c>
      <c r="G56" s="54">
        <v>4.7</v>
      </c>
      <c r="H56" s="55">
        <v>5.46</v>
      </c>
      <c r="I56" s="54">
        <v>0.02</v>
      </c>
      <c r="J56" s="57">
        <f t="shared" si="0"/>
        <v>1.6666666666666668E-3</v>
      </c>
      <c r="K56" s="65">
        <f t="shared" si="1"/>
        <v>4.6983333333333333</v>
      </c>
      <c r="L56" s="67">
        <f t="shared" si="2"/>
        <v>5.458333333333333</v>
      </c>
      <c r="M56" s="69">
        <v>1.41</v>
      </c>
      <c r="N56" s="72">
        <v>1.7</v>
      </c>
    </row>
    <row r="57" spans="6:14" x14ac:dyDescent="0.45">
      <c r="F57" s="53" t="s">
        <v>91</v>
      </c>
      <c r="G57" s="54">
        <v>0.56999999999999995</v>
      </c>
      <c r="H57" s="55">
        <v>1.92</v>
      </c>
      <c r="I57" s="54">
        <v>0.03</v>
      </c>
      <c r="J57" s="57">
        <f t="shared" si="0"/>
        <v>2.5000000000000001E-3</v>
      </c>
      <c r="K57" s="65">
        <f t="shared" si="1"/>
        <v>0.5675</v>
      </c>
      <c r="L57" s="67">
        <f t="shared" si="2"/>
        <v>1.9175</v>
      </c>
      <c r="M57" s="69">
        <v>1.41</v>
      </c>
      <c r="N57" s="72">
        <v>1.77</v>
      </c>
    </row>
    <row r="58" spans="6:14" x14ac:dyDescent="0.45">
      <c r="F58" s="53" t="s">
        <v>92</v>
      </c>
      <c r="G58" s="54">
        <v>2.74</v>
      </c>
      <c r="H58" s="55">
        <v>3.16</v>
      </c>
      <c r="I58" s="54">
        <v>0.05</v>
      </c>
      <c r="J58" s="57">
        <f t="shared" si="0"/>
        <v>4.1666666666666666E-3</v>
      </c>
      <c r="K58" s="65">
        <f t="shared" si="1"/>
        <v>2.7358333333333333</v>
      </c>
      <c r="L58" s="67">
        <f t="shared" si="2"/>
        <v>3.1558333333333333</v>
      </c>
      <c r="M58" s="69">
        <v>1.42</v>
      </c>
      <c r="N58" s="72">
        <v>1.8</v>
      </c>
    </row>
    <row r="59" spans="6:14" x14ac:dyDescent="0.45">
      <c r="F59" s="53" t="s">
        <v>93</v>
      </c>
      <c r="G59" s="54">
        <v>2.17</v>
      </c>
      <c r="H59" s="55">
        <v>1.47</v>
      </c>
      <c r="I59" s="54">
        <v>0.09</v>
      </c>
      <c r="J59" s="57">
        <f t="shared" si="0"/>
        <v>7.4999999999999997E-3</v>
      </c>
      <c r="K59" s="65">
        <f t="shared" si="1"/>
        <v>2.1625000000000001</v>
      </c>
      <c r="L59" s="67">
        <f t="shared" si="2"/>
        <v>1.4624999999999999</v>
      </c>
      <c r="M59" s="69">
        <v>1.45</v>
      </c>
      <c r="N59" s="72">
        <v>1.81</v>
      </c>
    </row>
    <row r="60" spans="6:14" x14ac:dyDescent="0.45">
      <c r="F60" s="53" t="s">
        <v>94</v>
      </c>
      <c r="G60" s="54">
        <v>2.5099999999999998</v>
      </c>
      <c r="H60" s="55">
        <v>3.23</v>
      </c>
      <c r="I60" s="54">
        <v>0.09</v>
      </c>
      <c r="J60" s="57">
        <f t="shared" si="0"/>
        <v>7.4999999999999997E-3</v>
      </c>
      <c r="K60" s="65">
        <f t="shared" si="1"/>
        <v>2.5024999999999999</v>
      </c>
      <c r="L60" s="67">
        <f t="shared" si="2"/>
        <v>3.2225000000000001</v>
      </c>
      <c r="M60" s="69">
        <v>1.49</v>
      </c>
      <c r="N60" s="72">
        <v>1.92</v>
      </c>
    </row>
    <row r="61" spans="6:14" x14ac:dyDescent="0.45">
      <c r="F61" s="53" t="s">
        <v>95</v>
      </c>
      <c r="G61" s="54">
        <v>9.9</v>
      </c>
      <c r="H61" s="55">
        <v>10.84</v>
      </c>
      <c r="I61" s="54">
        <v>0.09</v>
      </c>
      <c r="J61" s="57">
        <f t="shared" si="0"/>
        <v>7.4999999999999997E-3</v>
      </c>
      <c r="K61" s="65">
        <f t="shared" si="1"/>
        <v>9.8925000000000001</v>
      </c>
      <c r="L61" s="67">
        <f t="shared" si="2"/>
        <v>10.8325</v>
      </c>
      <c r="M61" s="69">
        <v>1.57</v>
      </c>
      <c r="N61" s="72">
        <v>2.0699999999999998</v>
      </c>
    </row>
    <row r="62" spans="6:14" x14ac:dyDescent="0.45">
      <c r="F62" s="53" t="s">
        <v>96</v>
      </c>
      <c r="G62" s="54">
        <v>-2.67</v>
      </c>
      <c r="H62" s="55">
        <v>-2.25</v>
      </c>
      <c r="I62" s="54">
        <v>0.1</v>
      </c>
      <c r="J62" s="57">
        <f t="shared" si="0"/>
        <v>8.3333333333333332E-3</v>
      </c>
      <c r="K62" s="65">
        <f t="shared" si="1"/>
        <v>-2.6783333333333332</v>
      </c>
      <c r="L62" s="67">
        <f t="shared" si="2"/>
        <v>-2.2583333333333333</v>
      </c>
      <c r="M62" s="69">
        <v>1.57</v>
      </c>
      <c r="N62" s="72">
        <v>2.1</v>
      </c>
    </row>
    <row r="63" spans="6:14" x14ac:dyDescent="0.45">
      <c r="F63" s="53" t="s">
        <v>97</v>
      </c>
      <c r="G63" s="54">
        <v>-3.17</v>
      </c>
      <c r="H63" s="55">
        <v>-4.29</v>
      </c>
      <c r="I63" s="54">
        <v>0.11</v>
      </c>
      <c r="J63" s="57">
        <f t="shared" si="0"/>
        <v>9.1666666666666667E-3</v>
      </c>
      <c r="K63" s="65">
        <f t="shared" si="1"/>
        <v>-3.1791666666666667</v>
      </c>
      <c r="L63" s="67">
        <f t="shared" si="2"/>
        <v>-4.2991666666666664</v>
      </c>
      <c r="M63" s="69">
        <v>1.71</v>
      </c>
      <c r="N63" s="72">
        <v>2.2000000000000002</v>
      </c>
    </row>
    <row r="64" spans="6:14" x14ac:dyDescent="0.45">
      <c r="F64" s="53" t="s">
        <v>98</v>
      </c>
      <c r="G64" s="54">
        <v>7.71</v>
      </c>
      <c r="H64" s="55">
        <v>9.16</v>
      </c>
      <c r="I64" s="54">
        <v>0.1</v>
      </c>
      <c r="J64" s="57">
        <f t="shared" si="0"/>
        <v>8.3333333333333332E-3</v>
      </c>
      <c r="K64" s="65">
        <f t="shared" si="1"/>
        <v>7.7016666666666662</v>
      </c>
      <c r="L64" s="67">
        <f t="shared" si="2"/>
        <v>9.1516666666666673</v>
      </c>
      <c r="M64" s="69">
        <v>1.71</v>
      </c>
      <c r="N64" s="72">
        <v>2.35</v>
      </c>
    </row>
    <row r="65" spans="6:14" x14ac:dyDescent="0.45">
      <c r="F65" s="53" t="s">
        <v>99</v>
      </c>
      <c r="G65" s="54">
        <v>6.31</v>
      </c>
      <c r="H65" s="55">
        <v>5.49</v>
      </c>
      <c r="I65" s="54">
        <v>0.13</v>
      </c>
      <c r="J65" s="57">
        <f t="shared" si="0"/>
        <v>1.0833333333333334E-2</v>
      </c>
      <c r="K65" s="65">
        <f t="shared" si="1"/>
        <v>6.2991666666666664</v>
      </c>
      <c r="L65" s="67">
        <f t="shared" si="2"/>
        <v>5.479166666666667</v>
      </c>
      <c r="M65" s="69">
        <v>1.77</v>
      </c>
      <c r="N65" s="72">
        <v>2.38</v>
      </c>
    </row>
    <row r="66" spans="6:14" x14ac:dyDescent="0.45">
      <c r="F66" s="53" t="s">
        <v>100</v>
      </c>
      <c r="G66" s="54">
        <v>1.77</v>
      </c>
      <c r="H66" s="55">
        <v>0.93</v>
      </c>
      <c r="I66" s="54">
        <v>0.16</v>
      </c>
      <c r="J66" s="57">
        <f t="shared" si="0"/>
        <v>1.3333333333333334E-2</v>
      </c>
      <c r="K66" s="65">
        <f t="shared" si="1"/>
        <v>1.7566666666666666</v>
      </c>
      <c r="L66" s="67">
        <f t="shared" si="2"/>
        <v>0.91666666666666674</v>
      </c>
      <c r="M66" s="69">
        <v>1.77</v>
      </c>
      <c r="N66" s="72">
        <v>2.38</v>
      </c>
    </row>
    <row r="67" spans="6:14" x14ac:dyDescent="0.45">
      <c r="F67" s="53" t="s">
        <v>101</v>
      </c>
      <c r="G67" s="54">
        <v>3.58</v>
      </c>
      <c r="H67" s="55">
        <v>6.03</v>
      </c>
      <c r="I67" s="54">
        <v>0.12</v>
      </c>
      <c r="J67" s="57">
        <f t="shared" ref="J67:J120" si="3">I67/12</f>
        <v>0.01</v>
      </c>
      <c r="K67" s="65">
        <f t="shared" ref="K67:K120" si="4">G67-J67</f>
        <v>3.5700000000000003</v>
      </c>
      <c r="L67" s="67">
        <f t="shared" ref="L67:L120" si="5">H67-J67</f>
        <v>6.0200000000000005</v>
      </c>
      <c r="M67" s="69">
        <v>1.86</v>
      </c>
      <c r="N67" s="72">
        <v>2.38</v>
      </c>
    </row>
    <row r="68" spans="6:14" x14ac:dyDescent="0.45">
      <c r="F68" s="53" t="s">
        <v>102</v>
      </c>
      <c r="G68" s="54">
        <v>7.09</v>
      </c>
      <c r="H68" s="55">
        <v>9.1999999999999993</v>
      </c>
      <c r="I68" s="54">
        <v>0.14000000000000001</v>
      </c>
      <c r="J68" s="57">
        <f t="shared" si="3"/>
        <v>1.1666666666666667E-2</v>
      </c>
      <c r="K68" s="65">
        <f t="shared" si="4"/>
        <v>7.0783333333333331</v>
      </c>
      <c r="L68" s="67">
        <f t="shared" si="5"/>
        <v>9.1883333333333326</v>
      </c>
      <c r="M68" s="69">
        <v>1.9</v>
      </c>
      <c r="N68" s="72">
        <v>2.42</v>
      </c>
    </row>
    <row r="69" spans="6:14" x14ac:dyDescent="0.45">
      <c r="F69" s="53" t="s">
        <v>103</v>
      </c>
      <c r="G69" s="54">
        <v>-8.61</v>
      </c>
      <c r="H69" s="55">
        <v>-11.16</v>
      </c>
      <c r="I69" s="54">
        <v>0.41</v>
      </c>
      <c r="J69" s="57">
        <f t="shared" si="3"/>
        <v>3.4166666666666665E-2</v>
      </c>
      <c r="K69" s="65">
        <f t="shared" si="4"/>
        <v>-8.6441666666666652</v>
      </c>
      <c r="L69" s="67">
        <f t="shared" si="5"/>
        <v>-11.194166666666666</v>
      </c>
      <c r="M69" s="69">
        <v>1.94</v>
      </c>
      <c r="N69" s="72">
        <v>2.4900000000000002</v>
      </c>
    </row>
    <row r="70" spans="6:14" x14ac:dyDescent="0.45">
      <c r="F70" s="53" t="s">
        <v>104</v>
      </c>
      <c r="G70" s="54">
        <v>-9.36</v>
      </c>
      <c r="H70" s="55">
        <v>-9.3699999999999992</v>
      </c>
      <c r="I70" s="54">
        <v>1.56</v>
      </c>
      <c r="J70" s="57">
        <f t="shared" si="3"/>
        <v>0.13</v>
      </c>
      <c r="K70" s="65">
        <f t="shared" si="4"/>
        <v>-9.49</v>
      </c>
      <c r="L70" s="67">
        <f t="shared" si="5"/>
        <v>-9.5</v>
      </c>
      <c r="M70" s="69">
        <v>1.95</v>
      </c>
      <c r="N70" s="72">
        <v>2.56</v>
      </c>
    </row>
    <row r="71" spans="6:14" x14ac:dyDescent="0.45">
      <c r="F71" s="53" t="s">
        <v>105</v>
      </c>
      <c r="G71" s="54">
        <v>0.81</v>
      </c>
      <c r="H71" s="55">
        <v>1.81</v>
      </c>
      <c r="I71" s="54">
        <v>1.55</v>
      </c>
      <c r="J71" s="57">
        <f t="shared" si="3"/>
        <v>0.12916666666666668</v>
      </c>
      <c r="K71" s="65">
        <f t="shared" si="4"/>
        <v>0.6808333333333334</v>
      </c>
      <c r="L71" s="67">
        <f t="shared" si="5"/>
        <v>1.6808333333333334</v>
      </c>
      <c r="M71" s="69">
        <v>2.04</v>
      </c>
      <c r="N71" s="72">
        <v>2.66</v>
      </c>
    </row>
    <row r="72" spans="6:14" x14ac:dyDescent="0.45">
      <c r="F72" s="53" t="s">
        <v>106</v>
      </c>
      <c r="G72" s="54">
        <v>3.07</v>
      </c>
      <c r="H72" s="55">
        <v>2.66</v>
      </c>
      <c r="I72" s="54">
        <v>1.57</v>
      </c>
      <c r="J72" s="57">
        <f t="shared" si="3"/>
        <v>0.13083333333333333</v>
      </c>
      <c r="K72" s="65">
        <f t="shared" si="4"/>
        <v>2.9391666666666665</v>
      </c>
      <c r="L72" s="67">
        <f t="shared" si="5"/>
        <v>2.5291666666666668</v>
      </c>
      <c r="M72" s="69">
        <v>2.09</v>
      </c>
      <c r="N72" s="72">
        <v>2.66</v>
      </c>
    </row>
    <row r="73" spans="6:14" x14ac:dyDescent="0.45">
      <c r="F73" s="53" t="s">
        <v>107</v>
      </c>
      <c r="G73" s="54">
        <v>3.3</v>
      </c>
      <c r="H73" s="55">
        <v>3.63</v>
      </c>
      <c r="I73" s="54">
        <v>1.58</v>
      </c>
      <c r="J73" s="57">
        <f t="shared" si="3"/>
        <v>0.13166666666666668</v>
      </c>
      <c r="K73" s="65">
        <f t="shared" si="4"/>
        <v>3.168333333333333</v>
      </c>
      <c r="L73" s="67">
        <f t="shared" si="5"/>
        <v>3.4983333333333331</v>
      </c>
      <c r="M73" s="69">
        <v>2.16</v>
      </c>
      <c r="N73" s="72">
        <v>2.69</v>
      </c>
    </row>
    <row r="74" spans="6:14" x14ac:dyDescent="0.45">
      <c r="F74" s="53" t="s">
        <v>108</v>
      </c>
      <c r="G74" s="54">
        <v>1.86</v>
      </c>
      <c r="H74" s="55">
        <v>2.2000000000000002</v>
      </c>
      <c r="I74" s="54">
        <v>1.71</v>
      </c>
      <c r="J74" s="57">
        <f t="shared" si="3"/>
        <v>0.14249999999999999</v>
      </c>
      <c r="K74" s="65">
        <f t="shared" si="4"/>
        <v>1.7175</v>
      </c>
      <c r="L74" s="67">
        <f t="shared" si="5"/>
        <v>2.0575000000000001</v>
      </c>
      <c r="M74" s="69">
        <v>2.17</v>
      </c>
      <c r="N74" s="72">
        <v>2.77</v>
      </c>
    </row>
    <row r="75" spans="6:14" x14ac:dyDescent="0.45">
      <c r="F75" s="53" t="s">
        <v>109</v>
      </c>
      <c r="G75" s="54">
        <v>2.54</v>
      </c>
      <c r="H75" s="55">
        <v>3.2</v>
      </c>
      <c r="I75" s="54">
        <v>1.95</v>
      </c>
      <c r="J75" s="57">
        <f t="shared" si="3"/>
        <v>0.16250000000000001</v>
      </c>
      <c r="K75" s="65">
        <f t="shared" si="4"/>
        <v>2.3774999999999999</v>
      </c>
      <c r="L75" s="67">
        <f t="shared" si="5"/>
        <v>3.0375000000000001</v>
      </c>
      <c r="M75" s="69">
        <v>2.17</v>
      </c>
      <c r="N75" s="72">
        <v>2.87</v>
      </c>
    </row>
    <row r="76" spans="6:14" x14ac:dyDescent="0.45">
      <c r="F76" s="53" t="s">
        <v>110</v>
      </c>
      <c r="G76" s="54">
        <v>-4.3099999999999996</v>
      </c>
      <c r="H76" s="55">
        <v>-4.17</v>
      </c>
      <c r="I76" s="54">
        <v>2.0099999999999998</v>
      </c>
      <c r="J76" s="57">
        <f t="shared" si="3"/>
        <v>0.16749999999999998</v>
      </c>
      <c r="K76" s="65">
        <f t="shared" si="4"/>
        <v>-4.4774999999999991</v>
      </c>
      <c r="L76" s="67">
        <f t="shared" si="5"/>
        <v>-4.3375000000000004</v>
      </c>
      <c r="M76" s="69">
        <v>2.2599999999999998</v>
      </c>
      <c r="N76" s="72">
        <v>2.89</v>
      </c>
    </row>
    <row r="77" spans="6:14" x14ac:dyDescent="0.45">
      <c r="F77" s="53" t="s">
        <v>111</v>
      </c>
      <c r="G77" s="54">
        <v>2.17</v>
      </c>
      <c r="H77" s="55">
        <v>2.89</v>
      </c>
      <c r="I77" s="54">
        <v>2.15</v>
      </c>
      <c r="J77" s="57">
        <f t="shared" si="3"/>
        <v>0.17916666666666667</v>
      </c>
      <c r="K77" s="65">
        <f t="shared" si="4"/>
        <v>1.9908333333333332</v>
      </c>
      <c r="L77" s="67">
        <f t="shared" si="5"/>
        <v>2.7108333333333334</v>
      </c>
      <c r="M77" s="69">
        <v>2.2999999999999998</v>
      </c>
      <c r="N77" s="72">
        <v>3</v>
      </c>
    </row>
    <row r="78" spans="6:14" x14ac:dyDescent="0.45">
      <c r="F78" s="53" t="s">
        <v>112</v>
      </c>
      <c r="G78" s="54">
        <v>5.0199999999999996</v>
      </c>
      <c r="H78" s="55">
        <v>5.0999999999999996</v>
      </c>
      <c r="I78" s="54">
        <v>2.25</v>
      </c>
      <c r="J78" s="57">
        <f t="shared" si="3"/>
        <v>0.1875</v>
      </c>
      <c r="K78" s="65">
        <f t="shared" si="4"/>
        <v>4.8324999999999996</v>
      </c>
      <c r="L78" s="67">
        <f t="shared" si="5"/>
        <v>4.9124999999999996</v>
      </c>
      <c r="M78" s="69">
        <v>2.38</v>
      </c>
      <c r="N78" s="72">
        <v>3.05</v>
      </c>
    </row>
    <row r="79" spans="6:14" x14ac:dyDescent="0.45">
      <c r="F79" s="53" t="s">
        <v>113</v>
      </c>
      <c r="G79" s="54">
        <v>-4.24</v>
      </c>
      <c r="H79" s="55">
        <v>-4.67</v>
      </c>
      <c r="I79" s="54">
        <v>2.41</v>
      </c>
      <c r="J79" s="57">
        <f t="shared" si="3"/>
        <v>0.20083333333333334</v>
      </c>
      <c r="K79" s="65">
        <f t="shared" si="4"/>
        <v>-4.4408333333333339</v>
      </c>
      <c r="L79" s="67">
        <f t="shared" si="5"/>
        <v>-4.8708333333333336</v>
      </c>
      <c r="M79" s="69">
        <v>2.4500000000000002</v>
      </c>
      <c r="N79" s="72">
        <v>3.05</v>
      </c>
    </row>
    <row r="80" spans="6:14" x14ac:dyDescent="0.45">
      <c r="F80" s="53" t="s">
        <v>114</v>
      </c>
      <c r="G80" s="54">
        <v>3.47</v>
      </c>
      <c r="H80" s="55">
        <v>4.6900000000000004</v>
      </c>
      <c r="I80" s="54">
        <v>2.4300000000000002</v>
      </c>
      <c r="J80" s="57">
        <f t="shared" si="3"/>
        <v>0.20250000000000001</v>
      </c>
      <c r="K80" s="65">
        <f t="shared" si="4"/>
        <v>3.2675000000000001</v>
      </c>
      <c r="L80" s="67">
        <f t="shared" si="5"/>
        <v>4.4875000000000007</v>
      </c>
      <c r="M80" s="69">
        <v>2.5099999999999998</v>
      </c>
      <c r="N80" s="72">
        <v>3.05</v>
      </c>
    </row>
    <row r="81" spans="6:14" x14ac:dyDescent="0.45">
      <c r="F81" s="53" t="s">
        <v>115</v>
      </c>
      <c r="G81" s="54">
        <v>1.71</v>
      </c>
      <c r="H81" s="55">
        <v>1.17</v>
      </c>
      <c r="I81" s="54">
        <v>2.46</v>
      </c>
      <c r="J81" s="57">
        <f t="shared" si="3"/>
        <v>0.20499999999999999</v>
      </c>
      <c r="K81" s="65">
        <f t="shared" si="4"/>
        <v>1.5049999999999999</v>
      </c>
      <c r="L81" s="67">
        <f t="shared" si="5"/>
        <v>0.96499999999999997</v>
      </c>
      <c r="M81" s="69">
        <v>2.54</v>
      </c>
      <c r="N81" s="72">
        <v>3.06</v>
      </c>
    </row>
    <row r="82" spans="6:14" x14ac:dyDescent="0.45">
      <c r="F82" s="53" t="s">
        <v>116</v>
      </c>
      <c r="G82" s="54">
        <v>5.78</v>
      </c>
      <c r="H82" s="55">
        <v>5.66</v>
      </c>
      <c r="I82" s="54">
        <v>2.4300000000000002</v>
      </c>
      <c r="J82" s="57">
        <f t="shared" si="3"/>
        <v>0.20250000000000001</v>
      </c>
      <c r="K82" s="65">
        <f t="shared" si="4"/>
        <v>5.5775000000000006</v>
      </c>
      <c r="L82" s="67">
        <f t="shared" si="5"/>
        <v>5.4575000000000005</v>
      </c>
      <c r="M82" s="69">
        <v>2.5499999999999998</v>
      </c>
      <c r="N82" s="72">
        <v>3.08</v>
      </c>
    </row>
    <row r="83" spans="6:14" x14ac:dyDescent="0.45">
      <c r="F83" s="53" t="s">
        <v>117</v>
      </c>
      <c r="G83" s="54">
        <v>5.59</v>
      </c>
      <c r="H83" s="55">
        <v>6.46</v>
      </c>
      <c r="I83" s="54">
        <v>2.42</v>
      </c>
      <c r="J83" s="57">
        <f t="shared" si="3"/>
        <v>0.20166666666666666</v>
      </c>
      <c r="K83" s="65">
        <f t="shared" si="4"/>
        <v>5.3883333333333336</v>
      </c>
      <c r="L83" s="67">
        <f t="shared" si="5"/>
        <v>6.2583333333333329</v>
      </c>
      <c r="M83" s="69">
        <v>2.74</v>
      </c>
      <c r="N83" s="72">
        <v>3.16</v>
      </c>
    </row>
    <row r="84" spans="6:14" x14ac:dyDescent="0.45">
      <c r="F84" s="53" t="s">
        <v>118</v>
      </c>
      <c r="G84" s="54">
        <v>-6.98</v>
      </c>
      <c r="H84" s="55">
        <v>-9.24</v>
      </c>
      <c r="I84" s="54">
        <v>2.41</v>
      </c>
      <c r="J84" s="57">
        <f t="shared" si="3"/>
        <v>0.20083333333333334</v>
      </c>
      <c r="K84" s="65">
        <f t="shared" si="4"/>
        <v>-7.1808333333333341</v>
      </c>
      <c r="L84" s="67">
        <f t="shared" si="5"/>
        <v>-9.4408333333333339</v>
      </c>
      <c r="M84" s="69">
        <v>2.74</v>
      </c>
      <c r="N84" s="72">
        <v>3.2</v>
      </c>
    </row>
    <row r="85" spans="6:14" x14ac:dyDescent="0.45">
      <c r="F85" s="53" t="s">
        <v>119</v>
      </c>
      <c r="G85" s="54">
        <v>4.58</v>
      </c>
      <c r="H85" s="55">
        <v>4.0599999999999996</v>
      </c>
      <c r="I85" s="54">
        <v>2.37</v>
      </c>
      <c r="J85" s="57">
        <f t="shared" si="3"/>
        <v>0.19750000000000001</v>
      </c>
      <c r="K85" s="65">
        <f t="shared" si="4"/>
        <v>4.3825000000000003</v>
      </c>
      <c r="L85" s="67">
        <f t="shared" si="5"/>
        <v>3.8624999999999998</v>
      </c>
      <c r="M85" s="69">
        <v>2.78</v>
      </c>
      <c r="N85" s="72">
        <v>3.23</v>
      </c>
    </row>
    <row r="86" spans="6:14" x14ac:dyDescent="0.45">
      <c r="F86" s="53" t="s">
        <v>120</v>
      </c>
      <c r="G86" s="54">
        <v>-9</v>
      </c>
      <c r="H86" s="55">
        <v>-9.24</v>
      </c>
      <c r="I86" s="54">
        <v>2.27</v>
      </c>
      <c r="J86" s="57">
        <f t="shared" si="3"/>
        <v>0.18916666666666668</v>
      </c>
      <c r="K86" s="65">
        <f t="shared" si="4"/>
        <v>-9.1891666666666669</v>
      </c>
      <c r="L86" s="67">
        <f t="shared" si="5"/>
        <v>-9.4291666666666671</v>
      </c>
      <c r="M86" s="69">
        <v>2.9</v>
      </c>
      <c r="N86" s="72">
        <v>3.34</v>
      </c>
    </row>
    <row r="87" spans="6:14" x14ac:dyDescent="0.45">
      <c r="F87" s="53" t="s">
        <v>121</v>
      </c>
      <c r="G87" s="54">
        <v>0.45</v>
      </c>
      <c r="H87" s="55">
        <v>0.73</v>
      </c>
      <c r="I87" s="54">
        <v>2.15</v>
      </c>
      <c r="J87" s="57">
        <f t="shared" si="3"/>
        <v>0.17916666666666667</v>
      </c>
      <c r="K87" s="65">
        <f t="shared" si="4"/>
        <v>0.27083333333333337</v>
      </c>
      <c r="L87" s="67">
        <f t="shared" si="5"/>
        <v>0.55083333333333329</v>
      </c>
      <c r="M87" s="69">
        <v>3.07</v>
      </c>
      <c r="N87" s="72">
        <v>3.56</v>
      </c>
    </row>
    <row r="88" spans="6:14" x14ac:dyDescent="0.45">
      <c r="F88" s="53" t="s">
        <v>122</v>
      </c>
      <c r="G88" s="54">
        <v>1.94</v>
      </c>
      <c r="H88" s="55">
        <v>3.56</v>
      </c>
      <c r="I88" s="54">
        <v>2.06</v>
      </c>
      <c r="J88" s="57">
        <f t="shared" si="3"/>
        <v>0.17166666666666666</v>
      </c>
      <c r="K88" s="65">
        <f t="shared" si="4"/>
        <v>1.7683333333333333</v>
      </c>
      <c r="L88" s="67">
        <f t="shared" si="5"/>
        <v>3.3883333333333332</v>
      </c>
      <c r="M88" s="69">
        <v>3.13</v>
      </c>
      <c r="N88" s="72">
        <v>3.63</v>
      </c>
    </row>
    <row r="89" spans="6:14" x14ac:dyDescent="0.45">
      <c r="F89" s="53" t="s">
        <v>123</v>
      </c>
      <c r="G89" s="54">
        <v>3.51</v>
      </c>
      <c r="H89" s="55">
        <v>3.34</v>
      </c>
      <c r="I89" s="54">
        <v>1.98</v>
      </c>
      <c r="J89" s="57">
        <f t="shared" si="3"/>
        <v>0.16500000000000001</v>
      </c>
      <c r="K89" s="65">
        <f t="shared" si="4"/>
        <v>3.3449999999999998</v>
      </c>
      <c r="L89" s="67">
        <f t="shared" si="5"/>
        <v>3.1749999999999998</v>
      </c>
      <c r="M89" s="69">
        <v>3.3</v>
      </c>
      <c r="N89" s="72">
        <v>3.64</v>
      </c>
    </row>
    <row r="90" spans="6:14" x14ac:dyDescent="0.45">
      <c r="F90" s="53" t="s">
        <v>124</v>
      </c>
      <c r="G90" s="54">
        <v>0.55000000000000004</v>
      </c>
      <c r="H90" s="55">
        <v>1.1499999999999999</v>
      </c>
      <c r="I90" s="54">
        <v>1.93</v>
      </c>
      <c r="J90" s="57">
        <f t="shared" si="3"/>
        <v>0.16083333333333333</v>
      </c>
      <c r="K90" s="65">
        <f t="shared" si="4"/>
        <v>0.38916666666666672</v>
      </c>
      <c r="L90" s="67">
        <f t="shared" si="5"/>
        <v>0.98916666666666653</v>
      </c>
      <c r="M90" s="69">
        <v>3.38</v>
      </c>
      <c r="N90" s="72">
        <v>3.74</v>
      </c>
    </row>
    <row r="91" spans="6:14" x14ac:dyDescent="0.45">
      <c r="F91" s="53" t="s">
        <v>125</v>
      </c>
      <c r="G91" s="54">
        <v>0.59</v>
      </c>
      <c r="H91" s="55">
        <v>1.7</v>
      </c>
      <c r="I91" s="54">
        <v>1.89</v>
      </c>
      <c r="J91" s="57">
        <f t="shared" si="3"/>
        <v>0.1575</v>
      </c>
      <c r="K91" s="65">
        <f t="shared" si="4"/>
        <v>0.4325</v>
      </c>
      <c r="L91" s="67">
        <f t="shared" si="5"/>
        <v>1.5425</v>
      </c>
      <c r="M91" s="69">
        <v>3.41</v>
      </c>
      <c r="N91" s="72">
        <v>3.74</v>
      </c>
    </row>
    <row r="92" spans="6:14" x14ac:dyDescent="0.45">
      <c r="F92" s="53" t="s">
        <v>126</v>
      </c>
      <c r="G92" s="54">
        <v>1.38</v>
      </c>
      <c r="H92" s="55">
        <v>1.8</v>
      </c>
      <c r="I92" s="54">
        <v>1.78</v>
      </c>
      <c r="J92" s="57">
        <f t="shared" si="3"/>
        <v>0.14833333333333334</v>
      </c>
      <c r="K92" s="65">
        <f t="shared" si="4"/>
        <v>1.2316666666666665</v>
      </c>
      <c r="L92" s="67">
        <f t="shared" si="5"/>
        <v>1.6516666666666666</v>
      </c>
      <c r="M92" s="69">
        <v>3.47</v>
      </c>
      <c r="N92" s="72">
        <v>3.87</v>
      </c>
    </row>
    <row r="93" spans="6:14" x14ac:dyDescent="0.45">
      <c r="F93" s="53" t="s">
        <v>127</v>
      </c>
      <c r="G93" s="54">
        <v>-3.47</v>
      </c>
      <c r="H93" s="55">
        <v>-3.97</v>
      </c>
      <c r="I93" s="54">
        <v>1.72</v>
      </c>
      <c r="J93" s="57">
        <f t="shared" si="3"/>
        <v>0.14333333333333334</v>
      </c>
      <c r="K93" s="65">
        <f t="shared" si="4"/>
        <v>-3.6133333333333337</v>
      </c>
      <c r="L93" s="67">
        <f t="shared" si="5"/>
        <v>-4.1133333333333333</v>
      </c>
      <c r="M93" s="69">
        <v>3.51</v>
      </c>
      <c r="N93" s="72">
        <v>3.92</v>
      </c>
    </row>
    <row r="94" spans="6:14" x14ac:dyDescent="0.45">
      <c r="F94" s="53" t="s">
        <v>128</v>
      </c>
      <c r="G94" s="54">
        <v>-6.37</v>
      </c>
      <c r="H94" s="55">
        <v>-4.58</v>
      </c>
      <c r="I94" s="54">
        <v>1.56</v>
      </c>
      <c r="J94" s="57">
        <f t="shared" si="3"/>
        <v>0.13</v>
      </c>
      <c r="K94" s="65">
        <f t="shared" si="4"/>
        <v>-6.5</v>
      </c>
      <c r="L94" s="67">
        <f t="shared" si="5"/>
        <v>-4.71</v>
      </c>
      <c r="M94" s="69">
        <v>3.57</v>
      </c>
      <c r="N94" s="72">
        <v>4.0599999999999996</v>
      </c>
    </row>
    <row r="95" spans="6:14" x14ac:dyDescent="0.45">
      <c r="F95" s="53" t="s">
        <v>129</v>
      </c>
      <c r="G95" s="54">
        <v>6.49</v>
      </c>
      <c r="H95" s="55">
        <v>6.28</v>
      </c>
      <c r="I95" s="54">
        <v>1.42</v>
      </c>
      <c r="J95" s="57">
        <f t="shared" si="3"/>
        <v>0.11833333333333333</v>
      </c>
      <c r="K95" s="65">
        <f t="shared" si="4"/>
        <v>6.371666666666667</v>
      </c>
      <c r="L95" s="67">
        <f t="shared" si="5"/>
        <v>6.1616666666666671</v>
      </c>
      <c r="M95" s="69">
        <v>3.58</v>
      </c>
      <c r="N95" s="72">
        <v>4.24</v>
      </c>
    </row>
    <row r="96" spans="6:14" x14ac:dyDescent="0.45">
      <c r="F96" s="53" t="s">
        <v>130</v>
      </c>
      <c r="G96" s="54">
        <v>1.39</v>
      </c>
      <c r="H96" s="55">
        <v>2.42</v>
      </c>
      <c r="I96" s="54">
        <v>1.33</v>
      </c>
      <c r="J96" s="57">
        <f t="shared" si="3"/>
        <v>0.11083333333333334</v>
      </c>
      <c r="K96" s="65">
        <f t="shared" si="4"/>
        <v>1.2791666666666666</v>
      </c>
      <c r="L96" s="67">
        <f t="shared" si="5"/>
        <v>2.3091666666666666</v>
      </c>
      <c r="M96" s="69">
        <v>3.62</v>
      </c>
      <c r="N96" s="72">
        <v>4.34</v>
      </c>
    </row>
    <row r="97" spans="6:14" x14ac:dyDescent="0.45">
      <c r="F97" s="53" t="s">
        <v>131</v>
      </c>
      <c r="G97" s="54">
        <v>2.04</v>
      </c>
      <c r="H97" s="55">
        <v>2.38</v>
      </c>
      <c r="I97" s="54">
        <v>1.23</v>
      </c>
      <c r="J97" s="57">
        <f t="shared" si="3"/>
        <v>0.10249999999999999</v>
      </c>
      <c r="K97" s="65">
        <f t="shared" si="4"/>
        <v>1.9375</v>
      </c>
      <c r="L97" s="67">
        <f t="shared" si="5"/>
        <v>2.2774999999999999</v>
      </c>
      <c r="M97" s="69">
        <v>3.96</v>
      </c>
      <c r="N97" s="72">
        <v>4.6900000000000004</v>
      </c>
    </row>
    <row r="98" spans="6:14" x14ac:dyDescent="0.45">
      <c r="F98" s="53" t="s">
        <v>132</v>
      </c>
      <c r="G98" s="54">
        <v>1.77</v>
      </c>
      <c r="H98" s="55">
        <v>2.56</v>
      </c>
      <c r="I98" s="54">
        <v>1.08</v>
      </c>
      <c r="J98" s="57">
        <f t="shared" si="3"/>
        <v>9.0000000000000011E-2</v>
      </c>
      <c r="K98" s="65">
        <f t="shared" si="4"/>
        <v>1.68</v>
      </c>
      <c r="L98" s="67">
        <f t="shared" si="5"/>
        <v>2.4700000000000002</v>
      </c>
      <c r="M98" s="69">
        <v>4.08</v>
      </c>
      <c r="N98" s="72">
        <v>4.7</v>
      </c>
    </row>
    <row r="99" spans="6:14" x14ac:dyDescent="0.45">
      <c r="F99" s="53" t="s">
        <v>133</v>
      </c>
      <c r="G99" s="54">
        <v>2.4500000000000002</v>
      </c>
      <c r="H99" s="55">
        <v>2.87</v>
      </c>
      <c r="I99" s="54">
        <v>1.04</v>
      </c>
      <c r="J99" s="57">
        <f t="shared" si="3"/>
        <v>8.666666666666667E-2</v>
      </c>
      <c r="K99" s="65">
        <f t="shared" si="4"/>
        <v>2.3633333333333333</v>
      </c>
      <c r="L99" s="67">
        <f t="shared" si="5"/>
        <v>2.7833333333333332</v>
      </c>
      <c r="M99" s="69">
        <v>4.09</v>
      </c>
      <c r="N99" s="72">
        <v>4.74</v>
      </c>
    </row>
    <row r="100" spans="6:14" x14ac:dyDescent="0.45">
      <c r="F100" s="53" t="s">
        <v>134</v>
      </c>
      <c r="G100" s="54">
        <v>0.26</v>
      </c>
      <c r="H100" s="55">
        <v>-0.95</v>
      </c>
      <c r="I100" s="54">
        <v>1.04</v>
      </c>
      <c r="J100" s="57">
        <f t="shared" si="3"/>
        <v>8.666666666666667E-2</v>
      </c>
      <c r="K100" s="65">
        <f t="shared" si="4"/>
        <v>0.17333333333333334</v>
      </c>
      <c r="L100" s="67">
        <f t="shared" si="5"/>
        <v>-1.0366666666666666</v>
      </c>
      <c r="M100" s="69">
        <v>4.24</v>
      </c>
      <c r="N100" s="72">
        <v>4.99</v>
      </c>
    </row>
    <row r="101" spans="6:14" x14ac:dyDescent="0.45">
      <c r="F101" s="53" t="s">
        <v>135</v>
      </c>
      <c r="G101" s="54">
        <v>0.73</v>
      </c>
      <c r="H101" s="55">
        <v>1.4</v>
      </c>
      <c r="I101" s="54">
        <v>1.08</v>
      </c>
      <c r="J101" s="57">
        <f t="shared" si="3"/>
        <v>9.0000000000000011E-2</v>
      </c>
      <c r="K101" s="65">
        <f t="shared" si="4"/>
        <v>0.64</v>
      </c>
      <c r="L101" s="67">
        <f t="shared" si="5"/>
        <v>1.3099999999999998</v>
      </c>
      <c r="M101" s="69">
        <v>4.38</v>
      </c>
      <c r="N101" s="72">
        <v>5.0999999999999996</v>
      </c>
    </row>
    <row r="102" spans="6:14" x14ac:dyDescent="0.45">
      <c r="F102" s="53" t="s">
        <v>136</v>
      </c>
      <c r="G102" s="54">
        <v>1.42</v>
      </c>
      <c r="H102" s="55">
        <v>1.32</v>
      </c>
      <c r="I102" s="54">
        <v>0.99</v>
      </c>
      <c r="J102" s="57">
        <f t="shared" si="3"/>
        <v>8.2500000000000004E-2</v>
      </c>
      <c r="K102" s="65">
        <f t="shared" si="4"/>
        <v>1.3374999999999999</v>
      </c>
      <c r="L102" s="67">
        <f t="shared" si="5"/>
        <v>1.2375</v>
      </c>
      <c r="M102" s="69">
        <v>4.53</v>
      </c>
      <c r="N102" s="72">
        <v>5.14</v>
      </c>
    </row>
    <row r="103" spans="6:14" x14ac:dyDescent="0.45">
      <c r="F103" s="53" t="s">
        <v>137</v>
      </c>
      <c r="G103" s="54">
        <v>2.9</v>
      </c>
      <c r="H103" s="55">
        <v>1.44</v>
      </c>
      <c r="I103" s="54">
        <v>0.89</v>
      </c>
      <c r="J103" s="57">
        <f t="shared" si="3"/>
        <v>7.4166666666666672E-2</v>
      </c>
      <c r="K103" s="65">
        <f t="shared" si="4"/>
        <v>2.8258333333333332</v>
      </c>
      <c r="L103" s="67">
        <f t="shared" si="5"/>
        <v>1.3658333333333332</v>
      </c>
      <c r="M103" s="69">
        <v>4.58</v>
      </c>
      <c r="N103" s="72">
        <v>5.14</v>
      </c>
    </row>
    <row r="104" spans="6:14" x14ac:dyDescent="0.45">
      <c r="F104" s="53" t="s">
        <v>138</v>
      </c>
      <c r="G104" s="54">
        <v>1.57</v>
      </c>
      <c r="H104" s="55">
        <v>1.17</v>
      </c>
      <c r="I104" s="54">
        <v>0.8</v>
      </c>
      <c r="J104" s="57">
        <f t="shared" si="3"/>
        <v>6.6666666666666666E-2</v>
      </c>
      <c r="K104" s="65">
        <f t="shared" si="4"/>
        <v>1.5033333333333334</v>
      </c>
      <c r="L104" s="67">
        <f t="shared" si="5"/>
        <v>1.1033333333333333</v>
      </c>
      <c r="M104" s="69">
        <v>4.7</v>
      </c>
      <c r="N104" s="72">
        <v>5.21</v>
      </c>
    </row>
    <row r="105" spans="6:14" x14ac:dyDescent="0.45">
      <c r="F105" s="53" t="s">
        <v>139</v>
      </c>
      <c r="G105" s="54">
        <v>1.41</v>
      </c>
      <c r="H105" s="55">
        <v>-0.05</v>
      </c>
      <c r="I105" s="54">
        <v>0.72</v>
      </c>
      <c r="J105" s="57">
        <f t="shared" si="3"/>
        <v>0.06</v>
      </c>
      <c r="K105" s="65">
        <f t="shared" si="4"/>
        <v>1.3499999999999999</v>
      </c>
      <c r="L105" s="67">
        <f t="shared" si="5"/>
        <v>-0.11</v>
      </c>
      <c r="M105" s="69">
        <v>4.72</v>
      </c>
      <c r="N105" s="72">
        <v>5.46</v>
      </c>
    </row>
    <row r="106" spans="6:14" x14ac:dyDescent="0.45">
      <c r="F106" s="53" t="s">
        <v>140</v>
      </c>
      <c r="G106" s="54">
        <v>3.41</v>
      </c>
      <c r="H106" s="55">
        <v>3.92</v>
      </c>
      <c r="I106" s="54">
        <v>0.52</v>
      </c>
      <c r="J106" s="57">
        <f t="shared" si="3"/>
        <v>4.3333333333333335E-2</v>
      </c>
      <c r="K106" s="65">
        <f t="shared" si="4"/>
        <v>3.3666666666666667</v>
      </c>
      <c r="L106" s="67">
        <f t="shared" si="5"/>
        <v>3.8766666666666665</v>
      </c>
      <c r="M106" s="69">
        <v>5.0199999999999996</v>
      </c>
      <c r="N106" s="72">
        <v>5.49</v>
      </c>
    </row>
    <row r="107" spans="6:14" x14ac:dyDescent="0.45">
      <c r="F107" s="53" t="s">
        <v>141</v>
      </c>
      <c r="G107" s="54">
        <v>2.2999999999999998</v>
      </c>
      <c r="H107" s="55">
        <v>1.4</v>
      </c>
      <c r="I107" s="54">
        <v>0.52</v>
      </c>
      <c r="J107" s="57">
        <f t="shared" si="3"/>
        <v>4.3333333333333335E-2</v>
      </c>
      <c r="K107" s="65">
        <f t="shared" si="4"/>
        <v>2.2566666666666664</v>
      </c>
      <c r="L107" s="67">
        <f t="shared" si="5"/>
        <v>1.3566666666666665</v>
      </c>
      <c r="M107" s="69">
        <v>5.08</v>
      </c>
      <c r="N107" s="72">
        <v>5.54</v>
      </c>
    </row>
    <row r="108" spans="6:14" x14ac:dyDescent="0.45">
      <c r="F108" s="53" t="s">
        <v>142</v>
      </c>
      <c r="G108" s="54">
        <v>2.74</v>
      </c>
      <c r="H108" s="55">
        <v>2.38</v>
      </c>
      <c r="I108" s="54">
        <v>0.51</v>
      </c>
      <c r="J108" s="57">
        <f t="shared" si="3"/>
        <v>4.2500000000000003E-2</v>
      </c>
      <c r="K108" s="65">
        <f t="shared" si="4"/>
        <v>2.6975000000000002</v>
      </c>
      <c r="L108" s="67">
        <f t="shared" si="5"/>
        <v>2.3374999999999999</v>
      </c>
      <c r="M108" s="69">
        <v>5.17</v>
      </c>
      <c r="N108" s="72">
        <v>5.66</v>
      </c>
    </row>
    <row r="109" spans="6:14" x14ac:dyDescent="0.45">
      <c r="F109" s="53" t="s">
        <v>143</v>
      </c>
      <c r="G109" s="54">
        <v>0.62</v>
      </c>
      <c r="H109" s="55">
        <v>3.74</v>
      </c>
      <c r="I109" s="54">
        <v>0.43</v>
      </c>
      <c r="J109" s="57">
        <f t="shared" si="3"/>
        <v>3.5833333333333335E-2</v>
      </c>
      <c r="K109" s="65">
        <f t="shared" si="4"/>
        <v>0.58416666666666661</v>
      </c>
      <c r="L109" s="67">
        <f t="shared" si="5"/>
        <v>3.7041666666666671</v>
      </c>
      <c r="M109" s="69">
        <v>5.26</v>
      </c>
      <c r="N109" s="72">
        <v>5.67</v>
      </c>
    </row>
    <row r="110" spans="6:14" x14ac:dyDescent="0.45">
      <c r="F110" s="53" t="s">
        <v>144</v>
      </c>
      <c r="G110" s="54">
        <v>-3.17</v>
      </c>
      <c r="H110" s="55">
        <v>-1.89</v>
      </c>
      <c r="I110" s="54">
        <v>0.32</v>
      </c>
      <c r="J110" s="57">
        <f t="shared" si="3"/>
        <v>2.6666666666666668E-2</v>
      </c>
      <c r="K110" s="65">
        <f t="shared" si="4"/>
        <v>-3.1966666666666668</v>
      </c>
      <c r="L110" s="67">
        <f t="shared" si="5"/>
        <v>-1.9166666666666665</v>
      </c>
      <c r="M110" s="69">
        <v>5.52</v>
      </c>
      <c r="N110" s="72">
        <v>6.03</v>
      </c>
    </row>
    <row r="111" spans="6:14" x14ac:dyDescent="0.45">
      <c r="F111" s="53" t="s">
        <v>145</v>
      </c>
      <c r="G111" s="54">
        <v>0.34</v>
      </c>
      <c r="H111" s="55">
        <v>-0.28999999999999998</v>
      </c>
      <c r="I111" s="54">
        <v>0.3</v>
      </c>
      <c r="J111" s="57">
        <f t="shared" si="3"/>
        <v>2.4999999999999998E-2</v>
      </c>
      <c r="K111" s="65">
        <f t="shared" si="4"/>
        <v>0.315</v>
      </c>
      <c r="L111" s="67">
        <f t="shared" si="5"/>
        <v>-0.315</v>
      </c>
      <c r="M111" s="69">
        <v>5.59</v>
      </c>
      <c r="N111" s="72">
        <v>6.28</v>
      </c>
    </row>
    <row r="112" spans="6:14" x14ac:dyDescent="0.45">
      <c r="F112" s="53" t="s">
        <v>146</v>
      </c>
      <c r="G112" s="54">
        <v>0.62</v>
      </c>
      <c r="H112" s="55">
        <v>0.73</v>
      </c>
      <c r="I112" s="54">
        <v>0.28999999999999998</v>
      </c>
      <c r="J112" s="57">
        <f t="shared" si="3"/>
        <v>2.4166666666666666E-2</v>
      </c>
      <c r="K112" s="65">
        <f t="shared" si="4"/>
        <v>0.59583333333333333</v>
      </c>
      <c r="L112" s="67">
        <f t="shared" si="5"/>
        <v>0.70583333333333331</v>
      </c>
      <c r="M112" s="69">
        <v>5.67</v>
      </c>
      <c r="N112" s="72">
        <v>6.28</v>
      </c>
    </row>
    <row r="113" spans="6:14" x14ac:dyDescent="0.45">
      <c r="F113" s="53" t="s">
        <v>147</v>
      </c>
      <c r="G113" s="54">
        <v>5.26</v>
      </c>
      <c r="H113" s="55">
        <v>6.68</v>
      </c>
      <c r="I113" s="54">
        <v>0.3</v>
      </c>
      <c r="J113" s="57">
        <f t="shared" si="3"/>
        <v>2.4999999999999998E-2</v>
      </c>
      <c r="K113" s="65">
        <f t="shared" si="4"/>
        <v>5.2349999999999994</v>
      </c>
      <c r="L113" s="67">
        <f t="shared" si="5"/>
        <v>6.6549999999999994</v>
      </c>
      <c r="M113" s="69">
        <v>5.78</v>
      </c>
      <c r="N113" s="72">
        <v>6.35</v>
      </c>
    </row>
    <row r="114" spans="6:14" x14ac:dyDescent="0.45">
      <c r="F114" s="53" t="s">
        <v>148</v>
      </c>
      <c r="G114" s="54">
        <v>-1.79</v>
      </c>
      <c r="H114" s="55">
        <v>-2.66</v>
      </c>
      <c r="I114" s="54">
        <v>0.28000000000000003</v>
      </c>
      <c r="J114" s="57">
        <f t="shared" si="3"/>
        <v>2.3333333333333334E-2</v>
      </c>
      <c r="K114" s="65">
        <f t="shared" si="4"/>
        <v>-1.8133333333333335</v>
      </c>
      <c r="L114" s="67">
        <f t="shared" si="5"/>
        <v>-2.6833333333333336</v>
      </c>
      <c r="M114" s="69">
        <v>6.31</v>
      </c>
      <c r="N114" s="72">
        <v>6.46</v>
      </c>
    </row>
    <row r="115" spans="6:14" x14ac:dyDescent="0.45">
      <c r="F115" s="53" t="s">
        <v>149</v>
      </c>
      <c r="G115" s="54">
        <v>1.07</v>
      </c>
      <c r="H115" s="55">
        <v>1.1499999999999999</v>
      </c>
      <c r="I115" s="54">
        <v>0.27</v>
      </c>
      <c r="J115" s="57">
        <f t="shared" si="3"/>
        <v>2.2500000000000003E-2</v>
      </c>
      <c r="K115" s="65">
        <f t="shared" si="4"/>
        <v>1.0475000000000001</v>
      </c>
      <c r="L115" s="67">
        <f t="shared" si="5"/>
        <v>1.1274999999999999</v>
      </c>
      <c r="M115" s="69">
        <v>6.49</v>
      </c>
      <c r="N115" s="72">
        <v>6.68</v>
      </c>
    </row>
    <row r="116" spans="6:14" x14ac:dyDescent="0.45">
      <c r="F116" s="53" t="s">
        <v>150</v>
      </c>
      <c r="G116" s="54">
        <v>2.5499999999999998</v>
      </c>
      <c r="H116" s="55">
        <v>2.0699999999999998</v>
      </c>
      <c r="I116" s="54">
        <v>0.23</v>
      </c>
      <c r="J116" s="57">
        <f t="shared" si="3"/>
        <v>1.9166666666666669E-2</v>
      </c>
      <c r="K116" s="65">
        <f t="shared" si="4"/>
        <v>2.5308333333333333</v>
      </c>
      <c r="L116" s="67">
        <f t="shared" si="5"/>
        <v>2.0508333333333333</v>
      </c>
      <c r="M116" s="69">
        <v>7.04</v>
      </c>
      <c r="N116" s="72">
        <v>6.68</v>
      </c>
    </row>
    <row r="117" spans="6:14" x14ac:dyDescent="0.45">
      <c r="F117" s="53" t="s">
        <v>151</v>
      </c>
      <c r="G117" s="54">
        <v>5.17</v>
      </c>
      <c r="H117" s="55">
        <v>5.54</v>
      </c>
      <c r="I117" s="54">
        <v>0.31</v>
      </c>
      <c r="J117" s="57">
        <f t="shared" si="3"/>
        <v>2.5833333333333333E-2</v>
      </c>
      <c r="K117" s="65">
        <f t="shared" si="4"/>
        <v>5.144166666666667</v>
      </c>
      <c r="L117" s="67">
        <f t="shared" si="5"/>
        <v>5.5141666666666671</v>
      </c>
      <c r="M117" s="69">
        <v>7.09</v>
      </c>
      <c r="N117" s="72">
        <v>9.16</v>
      </c>
    </row>
    <row r="118" spans="6:14" x14ac:dyDescent="0.45">
      <c r="F118" s="53" t="s">
        <v>152</v>
      </c>
      <c r="G118" s="54">
        <v>0.36</v>
      </c>
      <c r="H118" s="55">
        <v>2.35</v>
      </c>
      <c r="I118" s="54">
        <v>0.32</v>
      </c>
      <c r="J118" s="57">
        <f t="shared" si="3"/>
        <v>2.6666666666666668E-2</v>
      </c>
      <c r="K118" s="65">
        <f t="shared" si="4"/>
        <v>0.33333333333333331</v>
      </c>
      <c r="L118" s="67">
        <f t="shared" si="5"/>
        <v>2.3233333333333333</v>
      </c>
      <c r="M118" s="69">
        <v>7.71</v>
      </c>
      <c r="N118" s="72">
        <v>9.1999999999999993</v>
      </c>
    </row>
    <row r="119" spans="6:14" x14ac:dyDescent="0.45">
      <c r="F119" s="53" t="s">
        <v>153</v>
      </c>
      <c r="G119" s="54">
        <v>-6.64</v>
      </c>
      <c r="H119" s="55">
        <v>-7.85</v>
      </c>
      <c r="I119" s="54">
        <v>0.23</v>
      </c>
      <c r="J119" s="57">
        <f t="shared" si="3"/>
        <v>1.9166666666666669E-2</v>
      </c>
      <c r="K119" s="65">
        <f t="shared" si="4"/>
        <v>-6.6591666666666667</v>
      </c>
      <c r="L119" s="67">
        <f t="shared" si="5"/>
        <v>-7.8691666666666666</v>
      </c>
      <c r="M119" s="69">
        <v>8.42</v>
      </c>
      <c r="N119" s="72">
        <v>9.4700000000000006</v>
      </c>
    </row>
    <row r="120" spans="6:14" x14ac:dyDescent="0.45">
      <c r="F120" s="53" t="s">
        <v>154</v>
      </c>
      <c r="G120" s="54">
        <v>-0.33</v>
      </c>
      <c r="H120" s="55">
        <v>-1.08</v>
      </c>
      <c r="I120" s="54">
        <v>0.23</v>
      </c>
      <c r="J120" s="57">
        <f t="shared" si="3"/>
        <v>1.9166666666666669E-2</v>
      </c>
      <c r="K120" s="65">
        <f t="shared" si="4"/>
        <v>-0.34916666666666668</v>
      </c>
      <c r="L120" s="67">
        <f t="shared" si="5"/>
        <v>-1.0991666666666668</v>
      </c>
      <c r="M120" s="69">
        <v>9.9</v>
      </c>
      <c r="N120" s="72">
        <v>10.84</v>
      </c>
    </row>
    <row r="121" spans="6:14" x14ac:dyDescent="0.45">
      <c r="J121" s="57"/>
    </row>
    <row r="122" spans="6:14" x14ac:dyDescent="0.45">
      <c r="J122" s="57"/>
    </row>
    <row r="123" spans="6:14" x14ac:dyDescent="0.45">
      <c r="J123" s="57"/>
    </row>
    <row r="124" spans="6:14" x14ac:dyDescent="0.45">
      <c r="J124" s="57"/>
    </row>
    <row r="125" spans="6:14" x14ac:dyDescent="0.45">
      <c r="J125" s="57"/>
    </row>
    <row r="126" spans="6:14" x14ac:dyDescent="0.45">
      <c r="J126" s="57"/>
    </row>
    <row r="127" spans="6:14" x14ac:dyDescent="0.45">
      <c r="J127" s="57"/>
    </row>
    <row r="128" spans="6:14" x14ac:dyDescent="0.45">
      <c r="J128" s="57"/>
    </row>
    <row r="129" spans="10:10" x14ac:dyDescent="0.45">
      <c r="J129" s="57"/>
    </row>
    <row r="130" spans="10:10" x14ac:dyDescent="0.45">
      <c r="J130" s="57"/>
    </row>
    <row r="131" spans="10:10" x14ac:dyDescent="0.45">
      <c r="J131" s="57"/>
    </row>
    <row r="132" spans="10:10" x14ac:dyDescent="0.45">
      <c r="J132" s="57"/>
    </row>
    <row r="133" spans="10:10" x14ac:dyDescent="0.45">
      <c r="J133" s="57"/>
    </row>
    <row r="134" spans="10:10" x14ac:dyDescent="0.45">
      <c r="J134" s="57"/>
    </row>
    <row r="135" spans="10:10" x14ac:dyDescent="0.45">
      <c r="J135" s="57"/>
    </row>
    <row r="136" spans="10:10" x14ac:dyDescent="0.45">
      <c r="J136" s="57"/>
    </row>
    <row r="137" spans="10:10" x14ac:dyDescent="0.45">
      <c r="J137" s="57"/>
    </row>
    <row r="138" spans="10:10" x14ac:dyDescent="0.45">
      <c r="J138" s="57"/>
    </row>
    <row r="139" spans="10:10" x14ac:dyDescent="0.45">
      <c r="J139" s="57"/>
    </row>
    <row r="140" spans="10:10" x14ac:dyDescent="0.45">
      <c r="J140" s="57"/>
    </row>
    <row r="141" spans="10:10" x14ac:dyDescent="0.45">
      <c r="J141" s="57"/>
    </row>
    <row r="142" spans="10:10" x14ac:dyDescent="0.45">
      <c r="J142" s="57"/>
    </row>
    <row r="143" spans="10:10" x14ac:dyDescent="0.45">
      <c r="J143" s="57"/>
    </row>
    <row r="144" spans="10:10" x14ac:dyDescent="0.45">
      <c r="J144" s="57"/>
    </row>
    <row r="145" spans="10:10" x14ac:dyDescent="0.45">
      <c r="J145" s="57"/>
    </row>
    <row r="146" spans="10:10" x14ac:dyDescent="0.45">
      <c r="J146" s="57"/>
    </row>
    <row r="147" spans="10:10" x14ac:dyDescent="0.45">
      <c r="J147" s="57"/>
    </row>
    <row r="148" spans="10:10" x14ac:dyDescent="0.45">
      <c r="J148" s="57"/>
    </row>
    <row r="149" spans="10:10" x14ac:dyDescent="0.45">
      <c r="J149" s="57"/>
    </row>
    <row r="150" spans="10:10" x14ac:dyDescent="0.45">
      <c r="J150" s="57"/>
    </row>
    <row r="151" spans="10:10" x14ac:dyDescent="0.45">
      <c r="J151" s="57"/>
    </row>
    <row r="152" spans="10:10" x14ac:dyDescent="0.45">
      <c r="J152" s="57"/>
    </row>
    <row r="153" spans="10:10" x14ac:dyDescent="0.45">
      <c r="J153" s="57"/>
    </row>
    <row r="154" spans="10:10" x14ac:dyDescent="0.45">
      <c r="J154" s="57"/>
    </row>
    <row r="155" spans="10:10" x14ac:dyDescent="0.45">
      <c r="J155" s="57"/>
    </row>
    <row r="156" spans="10:10" x14ac:dyDescent="0.45">
      <c r="J156" s="57"/>
    </row>
    <row r="157" spans="10:10" x14ac:dyDescent="0.45">
      <c r="J157" s="57"/>
    </row>
    <row r="158" spans="10:10" x14ac:dyDescent="0.45">
      <c r="J158" s="57"/>
    </row>
    <row r="159" spans="10:10" x14ac:dyDescent="0.45">
      <c r="J159" s="57"/>
    </row>
    <row r="160" spans="10:10" x14ac:dyDescent="0.45">
      <c r="J160" s="57"/>
    </row>
    <row r="161" spans="10:10" x14ac:dyDescent="0.45">
      <c r="J161" s="57"/>
    </row>
    <row r="162" spans="10:10" x14ac:dyDescent="0.45">
      <c r="J162" s="57"/>
    </row>
    <row r="163" spans="10:10" x14ac:dyDescent="0.45">
      <c r="J163" s="57"/>
    </row>
    <row r="164" spans="10:10" x14ac:dyDescent="0.45">
      <c r="J164" s="57"/>
    </row>
    <row r="165" spans="10:10" x14ac:dyDescent="0.45">
      <c r="J165" s="57"/>
    </row>
    <row r="166" spans="10:10" x14ac:dyDescent="0.45">
      <c r="J166" s="57"/>
    </row>
    <row r="167" spans="10:10" x14ac:dyDescent="0.45">
      <c r="J167" s="57"/>
    </row>
    <row r="168" spans="10:10" x14ac:dyDescent="0.45">
      <c r="J168" s="57"/>
    </row>
    <row r="169" spans="10:10" x14ac:dyDescent="0.45">
      <c r="J169" s="57"/>
    </row>
    <row r="170" spans="10:10" x14ac:dyDescent="0.45">
      <c r="J170" s="57"/>
    </row>
    <row r="171" spans="10:10" x14ac:dyDescent="0.45">
      <c r="J171" s="57"/>
    </row>
    <row r="172" spans="10:10" x14ac:dyDescent="0.45">
      <c r="J172" s="57"/>
    </row>
    <row r="173" spans="10:10" x14ac:dyDescent="0.45">
      <c r="J173" s="57"/>
    </row>
    <row r="174" spans="10:10" x14ac:dyDescent="0.45">
      <c r="J174" s="57"/>
    </row>
    <row r="175" spans="10:10" x14ac:dyDescent="0.45">
      <c r="J175" s="57"/>
    </row>
    <row r="176" spans="10:10" x14ac:dyDescent="0.45">
      <c r="J176" s="57"/>
    </row>
    <row r="177" spans="10:10" x14ac:dyDescent="0.45">
      <c r="J177" s="57"/>
    </row>
    <row r="178" spans="10:10" x14ac:dyDescent="0.45">
      <c r="J178" s="57"/>
    </row>
    <row r="179" spans="10:10" x14ac:dyDescent="0.45">
      <c r="J179" s="57"/>
    </row>
    <row r="180" spans="10:10" x14ac:dyDescent="0.45">
      <c r="J180" s="57"/>
    </row>
    <row r="181" spans="10:10" x14ac:dyDescent="0.45">
      <c r="J181" s="57"/>
    </row>
    <row r="182" spans="10:10" x14ac:dyDescent="0.45">
      <c r="J182" s="57"/>
    </row>
    <row r="183" spans="10:10" x14ac:dyDescent="0.45">
      <c r="J183" s="57"/>
    </row>
    <row r="184" spans="10:10" x14ac:dyDescent="0.45">
      <c r="J184" s="57"/>
    </row>
    <row r="185" spans="10:10" x14ac:dyDescent="0.45">
      <c r="J185" s="57"/>
    </row>
    <row r="186" spans="10:10" x14ac:dyDescent="0.45">
      <c r="J186" s="57"/>
    </row>
    <row r="187" spans="10:10" x14ac:dyDescent="0.45">
      <c r="J187" s="57"/>
    </row>
    <row r="188" spans="10:10" x14ac:dyDescent="0.45">
      <c r="J188" s="57"/>
    </row>
    <row r="189" spans="10:10" x14ac:dyDescent="0.45">
      <c r="J189" s="57"/>
    </row>
    <row r="190" spans="10:10" x14ac:dyDescent="0.45">
      <c r="J190" s="57"/>
    </row>
    <row r="191" spans="10:10" x14ac:dyDescent="0.45">
      <c r="J191" s="57"/>
    </row>
    <row r="192" spans="10:10" x14ac:dyDescent="0.45">
      <c r="J192" s="57"/>
    </row>
    <row r="193" spans="10:10" x14ac:dyDescent="0.45">
      <c r="J193" s="57"/>
    </row>
    <row r="194" spans="10:10" x14ac:dyDescent="0.45">
      <c r="J194" s="57"/>
    </row>
    <row r="195" spans="10:10" x14ac:dyDescent="0.45">
      <c r="J195" s="57"/>
    </row>
    <row r="196" spans="10:10" x14ac:dyDescent="0.45">
      <c r="J196" s="57"/>
    </row>
    <row r="197" spans="10:10" x14ac:dyDescent="0.45">
      <c r="J197" s="57"/>
    </row>
    <row r="198" spans="10:10" x14ac:dyDescent="0.45">
      <c r="J198" s="57"/>
    </row>
    <row r="199" spans="10:10" x14ac:dyDescent="0.45">
      <c r="J199" s="57"/>
    </row>
    <row r="200" spans="10:10" x14ac:dyDescent="0.45">
      <c r="J200" s="57"/>
    </row>
    <row r="201" spans="10:10" x14ac:dyDescent="0.45">
      <c r="J201" s="57"/>
    </row>
    <row r="202" spans="10:10" x14ac:dyDescent="0.45">
      <c r="J202" s="57"/>
    </row>
    <row r="203" spans="10:10" x14ac:dyDescent="0.45">
      <c r="J203" s="57"/>
    </row>
    <row r="204" spans="10:10" x14ac:dyDescent="0.45">
      <c r="J204" s="57"/>
    </row>
    <row r="205" spans="10:10" x14ac:dyDescent="0.45">
      <c r="J205" s="57"/>
    </row>
    <row r="206" spans="10:10" x14ac:dyDescent="0.45">
      <c r="J206" s="57"/>
    </row>
    <row r="207" spans="10:10" x14ac:dyDescent="0.45">
      <c r="J207" s="57"/>
    </row>
    <row r="208" spans="10:10" x14ac:dyDescent="0.45">
      <c r="J208" s="57"/>
    </row>
    <row r="209" spans="10:10" x14ac:dyDescent="0.45">
      <c r="J209" s="57"/>
    </row>
    <row r="210" spans="10:10" x14ac:dyDescent="0.45">
      <c r="J210" s="57"/>
    </row>
    <row r="211" spans="10:10" x14ac:dyDescent="0.45">
      <c r="J211" s="57"/>
    </row>
    <row r="212" spans="10:10" x14ac:dyDescent="0.45">
      <c r="J212" s="57"/>
    </row>
    <row r="213" spans="10:10" x14ac:dyDescent="0.45">
      <c r="J213" s="57"/>
    </row>
    <row r="214" spans="10:10" x14ac:dyDescent="0.45">
      <c r="J214" s="57"/>
    </row>
    <row r="215" spans="10:10" x14ac:dyDescent="0.45">
      <c r="J215" s="57"/>
    </row>
    <row r="216" spans="10:10" x14ac:dyDescent="0.45">
      <c r="J216" s="57"/>
    </row>
    <row r="217" spans="10:10" x14ac:dyDescent="0.45">
      <c r="J217" s="57"/>
    </row>
    <row r="218" spans="10:10" x14ac:dyDescent="0.45">
      <c r="J218" s="57"/>
    </row>
    <row r="219" spans="10:10" x14ac:dyDescent="0.45">
      <c r="J219" s="57"/>
    </row>
    <row r="220" spans="10:10" x14ac:dyDescent="0.45">
      <c r="J220" s="57"/>
    </row>
    <row r="221" spans="10:10" x14ac:dyDescent="0.45">
      <c r="J221" s="57"/>
    </row>
    <row r="222" spans="10:10" x14ac:dyDescent="0.45">
      <c r="J222" s="57"/>
    </row>
    <row r="223" spans="10:10" x14ac:dyDescent="0.45">
      <c r="J223" s="57"/>
    </row>
    <row r="224" spans="10:10" x14ac:dyDescent="0.45">
      <c r="J224" s="57"/>
    </row>
    <row r="225" spans="10:10" x14ac:dyDescent="0.45">
      <c r="J225" s="57"/>
    </row>
    <row r="226" spans="10:10" x14ac:dyDescent="0.45">
      <c r="J226" s="57"/>
    </row>
    <row r="227" spans="10:10" x14ac:dyDescent="0.45">
      <c r="J227" s="57"/>
    </row>
    <row r="228" spans="10:10" x14ac:dyDescent="0.45">
      <c r="J228" s="57"/>
    </row>
    <row r="229" spans="10:10" x14ac:dyDescent="0.45">
      <c r="J229" s="57"/>
    </row>
    <row r="230" spans="10:10" x14ac:dyDescent="0.45">
      <c r="J230" s="57"/>
    </row>
    <row r="231" spans="10:10" x14ac:dyDescent="0.45">
      <c r="J231" s="57"/>
    </row>
    <row r="232" spans="10:10" x14ac:dyDescent="0.45">
      <c r="J232" s="57"/>
    </row>
    <row r="233" spans="10:10" x14ac:dyDescent="0.45">
      <c r="J233" s="57"/>
    </row>
    <row r="234" spans="10:10" x14ac:dyDescent="0.45">
      <c r="J234" s="57"/>
    </row>
    <row r="235" spans="10:10" x14ac:dyDescent="0.45">
      <c r="J235" s="57"/>
    </row>
    <row r="236" spans="10:10" x14ac:dyDescent="0.45">
      <c r="J236" s="57"/>
    </row>
    <row r="237" spans="10:10" x14ac:dyDescent="0.45">
      <c r="J237" s="57"/>
    </row>
    <row r="238" spans="10:10" x14ac:dyDescent="0.45">
      <c r="J238" s="57"/>
    </row>
    <row r="239" spans="10:10" x14ac:dyDescent="0.45">
      <c r="J239" s="57"/>
    </row>
    <row r="240" spans="10:10" x14ac:dyDescent="0.45">
      <c r="J240" s="57"/>
    </row>
    <row r="241" spans="10:10" x14ac:dyDescent="0.45">
      <c r="J241" s="57"/>
    </row>
    <row r="242" spans="10:10" x14ac:dyDescent="0.45">
      <c r="J242" s="57"/>
    </row>
    <row r="243" spans="10:10" x14ac:dyDescent="0.45">
      <c r="J243" s="57"/>
    </row>
    <row r="244" spans="10:10" x14ac:dyDescent="0.45">
      <c r="J244" s="57"/>
    </row>
    <row r="245" spans="10:10" x14ac:dyDescent="0.45">
      <c r="J245" s="57"/>
    </row>
    <row r="246" spans="10:10" x14ac:dyDescent="0.45">
      <c r="J246" s="57"/>
    </row>
    <row r="247" spans="10:10" x14ac:dyDescent="0.45">
      <c r="J247" s="57"/>
    </row>
    <row r="248" spans="10:10" x14ac:dyDescent="0.45">
      <c r="J248" s="57"/>
    </row>
    <row r="249" spans="10:10" x14ac:dyDescent="0.45">
      <c r="J249" s="57"/>
    </row>
    <row r="250" spans="10:10" x14ac:dyDescent="0.45">
      <c r="J250" s="57"/>
    </row>
    <row r="251" spans="10:10" x14ac:dyDescent="0.45">
      <c r="J251" s="57"/>
    </row>
    <row r="252" spans="10:10" x14ac:dyDescent="0.45">
      <c r="J252" s="57"/>
    </row>
    <row r="253" spans="10:10" x14ac:dyDescent="0.45">
      <c r="J253" s="57"/>
    </row>
    <row r="254" spans="10:10" x14ac:dyDescent="0.45">
      <c r="J254" s="57"/>
    </row>
    <row r="255" spans="10:10" x14ac:dyDescent="0.45">
      <c r="J255" s="57"/>
    </row>
    <row r="256" spans="10:10" x14ac:dyDescent="0.45">
      <c r="J256" s="57"/>
    </row>
    <row r="257" spans="10:10" x14ac:dyDescent="0.45">
      <c r="J257" s="57"/>
    </row>
    <row r="258" spans="10:10" x14ac:dyDescent="0.45">
      <c r="J258" s="57"/>
    </row>
    <row r="259" spans="10:10" x14ac:dyDescent="0.45">
      <c r="J259" s="57"/>
    </row>
    <row r="260" spans="10:10" x14ac:dyDescent="0.45">
      <c r="J260" s="57"/>
    </row>
    <row r="261" spans="10:10" x14ac:dyDescent="0.45">
      <c r="J261" s="57"/>
    </row>
    <row r="262" spans="10:10" x14ac:dyDescent="0.45">
      <c r="J262" s="57"/>
    </row>
    <row r="263" spans="10:10" x14ac:dyDescent="0.45">
      <c r="J263" s="57"/>
    </row>
    <row r="264" spans="10:10" x14ac:dyDescent="0.45">
      <c r="J264" s="57"/>
    </row>
    <row r="265" spans="10:10" x14ac:dyDescent="0.45">
      <c r="J265" s="57"/>
    </row>
    <row r="266" spans="10:10" x14ac:dyDescent="0.45">
      <c r="J266" s="57"/>
    </row>
    <row r="267" spans="10:10" x14ac:dyDescent="0.45">
      <c r="J267" s="57"/>
    </row>
    <row r="268" spans="10:10" x14ac:dyDescent="0.45">
      <c r="J268" s="57"/>
    </row>
    <row r="269" spans="10:10" x14ac:dyDescent="0.45">
      <c r="J269" s="57"/>
    </row>
    <row r="270" spans="10:10" x14ac:dyDescent="0.45">
      <c r="J270" s="57"/>
    </row>
    <row r="271" spans="10:10" x14ac:dyDescent="0.45">
      <c r="J271" s="57"/>
    </row>
    <row r="272" spans="10:10" x14ac:dyDescent="0.45">
      <c r="J272" s="57"/>
    </row>
    <row r="273" spans="10:10" x14ac:dyDescent="0.45">
      <c r="J273" s="57"/>
    </row>
    <row r="274" spans="10:10" x14ac:dyDescent="0.45">
      <c r="J274" s="57"/>
    </row>
    <row r="275" spans="10:10" x14ac:dyDescent="0.45">
      <c r="J275" s="57"/>
    </row>
    <row r="276" spans="10:10" x14ac:dyDescent="0.45">
      <c r="J276" s="57"/>
    </row>
    <row r="277" spans="10:10" x14ac:dyDescent="0.45">
      <c r="J277" s="57"/>
    </row>
    <row r="278" spans="10:10" x14ac:dyDescent="0.45">
      <c r="J278" s="57"/>
    </row>
    <row r="279" spans="10:10" x14ac:dyDescent="0.45">
      <c r="J279" s="57"/>
    </row>
    <row r="280" spans="10:10" x14ac:dyDescent="0.45">
      <c r="J280" s="57"/>
    </row>
    <row r="281" spans="10:10" x14ac:dyDescent="0.45">
      <c r="J281" s="57"/>
    </row>
    <row r="282" spans="10:10" x14ac:dyDescent="0.45">
      <c r="J282" s="57"/>
    </row>
    <row r="283" spans="10:10" x14ac:dyDescent="0.45">
      <c r="J283" s="57"/>
    </row>
    <row r="284" spans="10:10" x14ac:dyDescent="0.45">
      <c r="J284" s="57"/>
    </row>
    <row r="285" spans="10:10" x14ac:dyDescent="0.45">
      <c r="J285" s="57"/>
    </row>
    <row r="286" spans="10:10" x14ac:dyDescent="0.45">
      <c r="J286" s="57"/>
    </row>
    <row r="287" spans="10:10" x14ac:dyDescent="0.45">
      <c r="J287" s="57"/>
    </row>
    <row r="288" spans="10:10" x14ac:dyDescent="0.45">
      <c r="J288" s="57"/>
    </row>
    <row r="289" spans="10:10" x14ac:dyDescent="0.45">
      <c r="J289" s="57"/>
    </row>
    <row r="290" spans="10:10" x14ac:dyDescent="0.45">
      <c r="J290" s="57"/>
    </row>
    <row r="291" spans="10:10" x14ac:dyDescent="0.45">
      <c r="J291" s="57"/>
    </row>
    <row r="292" spans="10:10" x14ac:dyDescent="0.45">
      <c r="J292" s="57"/>
    </row>
    <row r="293" spans="10:10" x14ac:dyDescent="0.45">
      <c r="J293" s="57"/>
    </row>
    <row r="294" spans="10:10" x14ac:dyDescent="0.45">
      <c r="J294" s="57"/>
    </row>
    <row r="295" spans="10:10" x14ac:dyDescent="0.45">
      <c r="J295" s="57"/>
    </row>
    <row r="296" spans="10:10" x14ac:dyDescent="0.45">
      <c r="J296" s="57"/>
    </row>
    <row r="297" spans="10:10" x14ac:dyDescent="0.45">
      <c r="J297" s="57"/>
    </row>
    <row r="298" spans="10:10" x14ac:dyDescent="0.45">
      <c r="J298" s="57"/>
    </row>
    <row r="299" spans="10:10" x14ac:dyDescent="0.45">
      <c r="J299" s="57"/>
    </row>
    <row r="300" spans="10:10" x14ac:dyDescent="0.45">
      <c r="J300" s="57"/>
    </row>
    <row r="301" spans="10:10" x14ac:dyDescent="0.45">
      <c r="J301" s="57"/>
    </row>
    <row r="302" spans="10:10" x14ac:dyDescent="0.45">
      <c r="J302" s="57"/>
    </row>
    <row r="303" spans="10:10" x14ac:dyDescent="0.45">
      <c r="J303" s="57"/>
    </row>
    <row r="304" spans="10:10" x14ac:dyDescent="0.45">
      <c r="J304" s="57"/>
    </row>
    <row r="305" spans="10:10" x14ac:dyDescent="0.45">
      <c r="J305" s="57"/>
    </row>
    <row r="306" spans="10:10" x14ac:dyDescent="0.45">
      <c r="J306" s="57"/>
    </row>
    <row r="307" spans="10:10" x14ac:dyDescent="0.45">
      <c r="J307" s="57"/>
    </row>
    <row r="308" spans="10:10" x14ac:dyDescent="0.45">
      <c r="J308" s="57"/>
    </row>
    <row r="309" spans="10:10" x14ac:dyDescent="0.45">
      <c r="J309" s="57"/>
    </row>
    <row r="310" spans="10:10" x14ac:dyDescent="0.45">
      <c r="J310" s="57"/>
    </row>
    <row r="311" spans="10:10" x14ac:dyDescent="0.45">
      <c r="J311" s="57"/>
    </row>
    <row r="312" spans="10:10" x14ac:dyDescent="0.45">
      <c r="J312" s="57"/>
    </row>
    <row r="313" spans="10:10" x14ac:dyDescent="0.45">
      <c r="J313" s="57"/>
    </row>
    <row r="314" spans="10:10" x14ac:dyDescent="0.45">
      <c r="J314" s="57"/>
    </row>
    <row r="315" spans="10:10" x14ac:dyDescent="0.45">
      <c r="J315" s="57"/>
    </row>
    <row r="316" spans="10:10" x14ac:dyDescent="0.45">
      <c r="J316" s="57"/>
    </row>
    <row r="317" spans="10:10" x14ac:dyDescent="0.45">
      <c r="J317" s="57"/>
    </row>
    <row r="318" spans="10:10" x14ac:dyDescent="0.45">
      <c r="J318" s="57"/>
    </row>
    <row r="319" spans="10:10" x14ac:dyDescent="0.45">
      <c r="J319" s="57"/>
    </row>
    <row r="320" spans="10:10" x14ac:dyDescent="0.45">
      <c r="J320" s="57"/>
    </row>
    <row r="321" spans="10:10" x14ac:dyDescent="0.45">
      <c r="J321" s="57"/>
    </row>
    <row r="322" spans="10:10" x14ac:dyDescent="0.45">
      <c r="J322" s="57"/>
    </row>
    <row r="323" spans="10:10" x14ac:dyDescent="0.45">
      <c r="J323" s="57"/>
    </row>
    <row r="324" spans="10:10" x14ac:dyDescent="0.45">
      <c r="J324" s="57"/>
    </row>
    <row r="325" spans="10:10" x14ac:dyDescent="0.45">
      <c r="J325" s="57"/>
    </row>
    <row r="326" spans="10:10" x14ac:dyDescent="0.45">
      <c r="J326" s="57"/>
    </row>
    <row r="327" spans="10:10" x14ac:dyDescent="0.45">
      <c r="J327" s="57"/>
    </row>
    <row r="328" spans="10:10" x14ac:dyDescent="0.45">
      <c r="J328" s="57"/>
    </row>
    <row r="329" spans="10:10" x14ac:dyDescent="0.45">
      <c r="J329" s="57"/>
    </row>
    <row r="330" spans="10:10" x14ac:dyDescent="0.45">
      <c r="J330" s="57"/>
    </row>
    <row r="331" spans="10:10" x14ac:dyDescent="0.45">
      <c r="J331" s="57"/>
    </row>
    <row r="332" spans="10:10" x14ac:dyDescent="0.45">
      <c r="J332" s="57"/>
    </row>
    <row r="333" spans="10:10" x14ac:dyDescent="0.45">
      <c r="J333" s="57"/>
    </row>
    <row r="334" spans="10:10" x14ac:dyDescent="0.45">
      <c r="J334" s="57"/>
    </row>
    <row r="335" spans="10:10" x14ac:dyDescent="0.45">
      <c r="J335" s="57"/>
    </row>
    <row r="336" spans="10:10" x14ac:dyDescent="0.45">
      <c r="J336" s="57"/>
    </row>
    <row r="337" spans="10:10" x14ac:dyDescent="0.45">
      <c r="J337" s="57"/>
    </row>
    <row r="338" spans="10:10" x14ac:dyDescent="0.45">
      <c r="J338" s="57"/>
    </row>
    <row r="339" spans="10:10" x14ac:dyDescent="0.45">
      <c r="J339" s="57"/>
    </row>
    <row r="340" spans="10:10" x14ac:dyDescent="0.45">
      <c r="J340" s="57"/>
    </row>
    <row r="341" spans="10:10" x14ac:dyDescent="0.45">
      <c r="J341" s="57"/>
    </row>
    <row r="342" spans="10:10" x14ac:dyDescent="0.45">
      <c r="J342" s="57"/>
    </row>
    <row r="343" spans="10:10" x14ac:dyDescent="0.45">
      <c r="J343" s="57"/>
    </row>
    <row r="344" spans="10:10" x14ac:dyDescent="0.45">
      <c r="J344" s="57"/>
    </row>
    <row r="345" spans="10:10" x14ac:dyDescent="0.45">
      <c r="J345" s="57"/>
    </row>
    <row r="346" spans="10:10" x14ac:dyDescent="0.45">
      <c r="J346" s="57"/>
    </row>
    <row r="347" spans="10:10" x14ac:dyDescent="0.45">
      <c r="J347" s="57"/>
    </row>
    <row r="348" spans="10:10" x14ac:dyDescent="0.45">
      <c r="J348" s="57"/>
    </row>
    <row r="349" spans="10:10" x14ac:dyDescent="0.45">
      <c r="J349" s="57"/>
    </row>
    <row r="350" spans="10:10" x14ac:dyDescent="0.45">
      <c r="J350" s="57"/>
    </row>
    <row r="351" spans="10:10" x14ac:dyDescent="0.45">
      <c r="J351" s="57"/>
    </row>
    <row r="352" spans="10:10" x14ac:dyDescent="0.45">
      <c r="J352" s="57"/>
    </row>
    <row r="353" spans="10:10" x14ac:dyDescent="0.45">
      <c r="J353" s="57"/>
    </row>
    <row r="354" spans="10:10" x14ac:dyDescent="0.45">
      <c r="J354" s="57"/>
    </row>
    <row r="355" spans="10:10" x14ac:dyDescent="0.45">
      <c r="J355" s="57"/>
    </row>
    <row r="356" spans="10:10" x14ac:dyDescent="0.45">
      <c r="J356" s="57"/>
    </row>
    <row r="357" spans="10:10" x14ac:dyDescent="0.45">
      <c r="J357" s="57"/>
    </row>
    <row r="358" spans="10:10" x14ac:dyDescent="0.45">
      <c r="J358" s="57"/>
    </row>
    <row r="359" spans="10:10" x14ac:dyDescent="0.45">
      <c r="J359" s="57"/>
    </row>
    <row r="360" spans="10:10" x14ac:dyDescent="0.45">
      <c r="J360" s="57"/>
    </row>
    <row r="361" spans="10:10" x14ac:dyDescent="0.45">
      <c r="J361" s="57"/>
    </row>
    <row r="362" spans="10:10" x14ac:dyDescent="0.45">
      <c r="J362" s="57"/>
    </row>
    <row r="363" spans="10:10" x14ac:dyDescent="0.45">
      <c r="J363" s="57"/>
    </row>
    <row r="364" spans="10:10" x14ac:dyDescent="0.45">
      <c r="J364" s="57"/>
    </row>
    <row r="365" spans="10:10" x14ac:dyDescent="0.45">
      <c r="J365" s="57"/>
    </row>
    <row r="366" spans="10:10" x14ac:dyDescent="0.45">
      <c r="J366" s="57"/>
    </row>
    <row r="367" spans="10:10" x14ac:dyDescent="0.45">
      <c r="J367" s="57"/>
    </row>
    <row r="368" spans="10:10" x14ac:dyDescent="0.45">
      <c r="J368" s="57"/>
    </row>
    <row r="369" spans="10:10" x14ac:dyDescent="0.45">
      <c r="J369" s="57"/>
    </row>
    <row r="370" spans="10:10" x14ac:dyDescent="0.45">
      <c r="J370" s="57"/>
    </row>
    <row r="371" spans="10:10" x14ac:dyDescent="0.45">
      <c r="J371" s="57"/>
    </row>
    <row r="372" spans="10:10" x14ac:dyDescent="0.45">
      <c r="J372" s="57"/>
    </row>
    <row r="373" spans="10:10" x14ac:dyDescent="0.45">
      <c r="J373" s="57"/>
    </row>
    <row r="374" spans="10:10" x14ac:dyDescent="0.45">
      <c r="J374" s="57"/>
    </row>
    <row r="375" spans="10:10" x14ac:dyDescent="0.45">
      <c r="J375" s="57"/>
    </row>
    <row r="376" spans="10:10" x14ac:dyDescent="0.45">
      <c r="J376" s="57"/>
    </row>
    <row r="377" spans="10:10" x14ac:dyDescent="0.45">
      <c r="J377" s="57"/>
    </row>
    <row r="378" spans="10:10" x14ac:dyDescent="0.45">
      <c r="J378" s="57"/>
    </row>
    <row r="379" spans="10:10" x14ac:dyDescent="0.45">
      <c r="J379" s="57"/>
    </row>
    <row r="380" spans="10:10" x14ac:dyDescent="0.45">
      <c r="J380" s="57"/>
    </row>
    <row r="381" spans="10:10" x14ac:dyDescent="0.45">
      <c r="J381" s="57"/>
    </row>
    <row r="382" spans="10:10" x14ac:dyDescent="0.45">
      <c r="J382" s="57"/>
    </row>
    <row r="383" spans="10:10" x14ac:dyDescent="0.45">
      <c r="J383" s="57"/>
    </row>
    <row r="384" spans="10:10" x14ac:dyDescent="0.45">
      <c r="J384" s="57"/>
    </row>
    <row r="385" spans="10:10" x14ac:dyDescent="0.45">
      <c r="J385" s="57"/>
    </row>
    <row r="386" spans="10:10" x14ac:dyDescent="0.45">
      <c r="J386" s="57"/>
    </row>
    <row r="387" spans="10:10" x14ac:dyDescent="0.45">
      <c r="J387" s="57"/>
    </row>
    <row r="388" spans="10:10" x14ac:dyDescent="0.45">
      <c r="J388" s="57"/>
    </row>
    <row r="389" spans="10:10" x14ac:dyDescent="0.45">
      <c r="J389" s="57"/>
    </row>
    <row r="390" spans="10:10" x14ac:dyDescent="0.45">
      <c r="J390" s="57"/>
    </row>
    <row r="391" spans="10:10" x14ac:dyDescent="0.45">
      <c r="J391" s="57"/>
    </row>
    <row r="392" spans="10:10" x14ac:dyDescent="0.45">
      <c r="J392" s="57"/>
    </row>
    <row r="393" spans="10:10" x14ac:dyDescent="0.45">
      <c r="J393" s="57"/>
    </row>
    <row r="394" spans="10:10" x14ac:dyDescent="0.45">
      <c r="J394" s="57"/>
    </row>
    <row r="395" spans="10:10" x14ac:dyDescent="0.45">
      <c r="J395" s="57"/>
    </row>
    <row r="396" spans="10:10" x14ac:dyDescent="0.45">
      <c r="J396" s="57"/>
    </row>
    <row r="397" spans="10:10" x14ac:dyDescent="0.45">
      <c r="J397" s="57"/>
    </row>
    <row r="398" spans="10:10" x14ac:dyDescent="0.45">
      <c r="J398" s="57"/>
    </row>
    <row r="399" spans="10:10" x14ac:dyDescent="0.45">
      <c r="J399" s="57"/>
    </row>
    <row r="400" spans="10:10" x14ac:dyDescent="0.45">
      <c r="J400" s="57"/>
    </row>
    <row r="401" spans="10:10" x14ac:dyDescent="0.45">
      <c r="J401" s="57"/>
    </row>
    <row r="402" spans="10:10" x14ac:dyDescent="0.45">
      <c r="J402" s="57"/>
    </row>
    <row r="403" spans="10:10" x14ac:dyDescent="0.45">
      <c r="J403" s="57"/>
    </row>
    <row r="404" spans="10:10" x14ac:dyDescent="0.45">
      <c r="J404" s="57"/>
    </row>
    <row r="405" spans="10:10" x14ac:dyDescent="0.45">
      <c r="J405" s="57"/>
    </row>
    <row r="406" spans="10:10" x14ac:dyDescent="0.45">
      <c r="J406" s="57"/>
    </row>
    <row r="407" spans="10:10" x14ac:dyDescent="0.45">
      <c r="J407" s="57"/>
    </row>
    <row r="408" spans="10:10" x14ac:dyDescent="0.45">
      <c r="J408" s="57"/>
    </row>
    <row r="409" spans="10:10" x14ac:dyDescent="0.45">
      <c r="J409" s="57"/>
    </row>
    <row r="410" spans="10:10" x14ac:dyDescent="0.45">
      <c r="J410" s="57"/>
    </row>
    <row r="411" spans="10:10" x14ac:dyDescent="0.45">
      <c r="J411" s="57"/>
    </row>
    <row r="412" spans="10:10" x14ac:dyDescent="0.45">
      <c r="J412" s="57"/>
    </row>
    <row r="413" spans="10:10" x14ac:dyDescent="0.45">
      <c r="J413" s="57"/>
    </row>
    <row r="414" spans="10:10" x14ac:dyDescent="0.45">
      <c r="J414" s="57"/>
    </row>
    <row r="415" spans="10:10" x14ac:dyDescent="0.45">
      <c r="J415" s="57"/>
    </row>
    <row r="416" spans="10:10" x14ac:dyDescent="0.45">
      <c r="J416" s="57"/>
    </row>
    <row r="417" spans="10:10" x14ac:dyDescent="0.45">
      <c r="J417" s="57"/>
    </row>
    <row r="418" spans="10:10" x14ac:dyDescent="0.45">
      <c r="J418" s="57"/>
    </row>
    <row r="419" spans="10:10" x14ac:dyDescent="0.45">
      <c r="J419" s="57"/>
    </row>
    <row r="420" spans="10:10" x14ac:dyDescent="0.45">
      <c r="J420" s="57"/>
    </row>
    <row r="421" spans="10:10" x14ac:dyDescent="0.45">
      <c r="J421" s="57"/>
    </row>
    <row r="422" spans="10:10" x14ac:dyDescent="0.45">
      <c r="J422" s="57"/>
    </row>
    <row r="423" spans="10:10" x14ac:dyDescent="0.45">
      <c r="J423" s="57"/>
    </row>
    <row r="424" spans="10:10" x14ac:dyDescent="0.45">
      <c r="J424" s="57"/>
    </row>
    <row r="425" spans="10:10" x14ac:dyDescent="0.45">
      <c r="J425" s="57"/>
    </row>
    <row r="426" spans="10:10" x14ac:dyDescent="0.45">
      <c r="J426" s="57"/>
    </row>
    <row r="427" spans="10:10" x14ac:dyDescent="0.45">
      <c r="J427" s="57"/>
    </row>
    <row r="428" spans="10:10" x14ac:dyDescent="0.45">
      <c r="J428" s="57"/>
    </row>
    <row r="429" spans="10:10" x14ac:dyDescent="0.45">
      <c r="J429" s="57"/>
    </row>
    <row r="430" spans="10:10" x14ac:dyDescent="0.45">
      <c r="J430" s="57"/>
    </row>
    <row r="431" spans="10:10" x14ac:dyDescent="0.45">
      <c r="J431" s="57"/>
    </row>
    <row r="432" spans="10:10" x14ac:dyDescent="0.45">
      <c r="J432" s="57"/>
    </row>
    <row r="433" spans="10:10" x14ac:dyDescent="0.45">
      <c r="J433" s="57"/>
    </row>
    <row r="434" spans="10:10" x14ac:dyDescent="0.45">
      <c r="J434" s="57"/>
    </row>
    <row r="435" spans="10:10" x14ac:dyDescent="0.45">
      <c r="J435" s="57"/>
    </row>
    <row r="436" spans="10:10" x14ac:dyDescent="0.45">
      <c r="J436" s="57"/>
    </row>
    <row r="437" spans="10:10" x14ac:dyDescent="0.45">
      <c r="J437" s="57"/>
    </row>
    <row r="438" spans="10:10" x14ac:dyDescent="0.45">
      <c r="J438" s="57"/>
    </row>
    <row r="439" spans="10:10" x14ac:dyDescent="0.45">
      <c r="J439" s="57"/>
    </row>
    <row r="440" spans="10:10" x14ac:dyDescent="0.45">
      <c r="J440" s="57"/>
    </row>
    <row r="441" spans="10:10" x14ac:dyDescent="0.45">
      <c r="J441" s="57"/>
    </row>
    <row r="442" spans="10:10" x14ac:dyDescent="0.45">
      <c r="J442" s="57"/>
    </row>
    <row r="443" spans="10:10" x14ac:dyDescent="0.45">
      <c r="J443" s="57"/>
    </row>
    <row r="444" spans="10:10" x14ac:dyDescent="0.45">
      <c r="J444" s="57"/>
    </row>
    <row r="445" spans="10:10" x14ac:dyDescent="0.45">
      <c r="J445" s="57"/>
    </row>
    <row r="446" spans="10:10" x14ac:dyDescent="0.45">
      <c r="J446" s="57"/>
    </row>
    <row r="447" spans="10:10" x14ac:dyDescent="0.45">
      <c r="J447" s="57"/>
    </row>
    <row r="448" spans="10:10" x14ac:dyDescent="0.45">
      <c r="J448" s="57"/>
    </row>
    <row r="449" spans="10:10" x14ac:dyDescent="0.45">
      <c r="J449" s="57"/>
    </row>
    <row r="450" spans="10:10" x14ac:dyDescent="0.45">
      <c r="J450" s="57"/>
    </row>
    <row r="451" spans="10:10" x14ac:dyDescent="0.45">
      <c r="J451" s="57"/>
    </row>
    <row r="452" spans="10:10" x14ac:dyDescent="0.45">
      <c r="J452" s="57"/>
    </row>
    <row r="453" spans="10:10" x14ac:dyDescent="0.45">
      <c r="J453" s="57"/>
    </row>
    <row r="454" spans="10:10" x14ac:dyDescent="0.45">
      <c r="J454" s="57"/>
    </row>
    <row r="455" spans="10:10" x14ac:dyDescent="0.45">
      <c r="J455" s="57"/>
    </row>
    <row r="456" spans="10:10" x14ac:dyDescent="0.45">
      <c r="J456" s="57"/>
    </row>
    <row r="457" spans="10:10" x14ac:dyDescent="0.45">
      <c r="J457" s="57"/>
    </row>
    <row r="458" spans="10:10" x14ac:dyDescent="0.45">
      <c r="J458" s="57"/>
    </row>
    <row r="459" spans="10:10" x14ac:dyDescent="0.45">
      <c r="J459" s="57"/>
    </row>
    <row r="460" spans="10:10" x14ac:dyDescent="0.45">
      <c r="J460" s="57"/>
    </row>
    <row r="461" spans="10:10" x14ac:dyDescent="0.45">
      <c r="J461" s="57"/>
    </row>
    <row r="462" spans="10:10" x14ac:dyDescent="0.45">
      <c r="J462" s="57"/>
    </row>
    <row r="463" spans="10:10" x14ac:dyDescent="0.45">
      <c r="J463" s="57"/>
    </row>
    <row r="464" spans="10:10" x14ac:dyDescent="0.45">
      <c r="J464" s="57"/>
    </row>
    <row r="465" spans="10:10" x14ac:dyDescent="0.45">
      <c r="J465" s="57"/>
    </row>
    <row r="466" spans="10:10" x14ac:dyDescent="0.45">
      <c r="J466" s="57"/>
    </row>
    <row r="467" spans="10:10" x14ac:dyDescent="0.45">
      <c r="J467" s="57"/>
    </row>
    <row r="468" spans="10:10" x14ac:dyDescent="0.45">
      <c r="J468" s="57"/>
    </row>
    <row r="469" spans="10:10" x14ac:dyDescent="0.45">
      <c r="J469" s="57"/>
    </row>
    <row r="470" spans="10:10" x14ac:dyDescent="0.45">
      <c r="J470" s="57"/>
    </row>
    <row r="471" spans="10:10" x14ac:dyDescent="0.45">
      <c r="J471" s="57"/>
    </row>
    <row r="472" spans="10:10" x14ac:dyDescent="0.45">
      <c r="J472" s="57"/>
    </row>
    <row r="473" spans="10:10" x14ac:dyDescent="0.45">
      <c r="J473" s="57"/>
    </row>
    <row r="474" spans="10:10" x14ac:dyDescent="0.45">
      <c r="J474" s="57"/>
    </row>
    <row r="475" spans="10:10" x14ac:dyDescent="0.45">
      <c r="J475" s="57"/>
    </row>
    <row r="476" spans="10:10" x14ac:dyDescent="0.45">
      <c r="J476" s="57"/>
    </row>
    <row r="477" spans="10:10" x14ac:dyDescent="0.45">
      <c r="J477" s="57"/>
    </row>
    <row r="478" spans="10:10" x14ac:dyDescent="0.45">
      <c r="J478" s="57"/>
    </row>
    <row r="479" spans="10:10" x14ac:dyDescent="0.45">
      <c r="J479" s="57"/>
    </row>
    <row r="480" spans="10:10" x14ac:dyDescent="0.45">
      <c r="J480" s="57"/>
    </row>
    <row r="481" spans="10:10" x14ac:dyDescent="0.45">
      <c r="J481" s="57"/>
    </row>
    <row r="482" spans="10:10" x14ac:dyDescent="0.45">
      <c r="J482" s="57"/>
    </row>
    <row r="483" spans="10:10" x14ac:dyDescent="0.45">
      <c r="J483" s="57"/>
    </row>
    <row r="484" spans="10:10" x14ac:dyDescent="0.45">
      <c r="J484" s="57"/>
    </row>
    <row r="485" spans="10:10" x14ac:dyDescent="0.45">
      <c r="J485" s="57"/>
    </row>
    <row r="486" spans="10:10" x14ac:dyDescent="0.45">
      <c r="J486" s="57"/>
    </row>
    <row r="487" spans="10:10" x14ac:dyDescent="0.45">
      <c r="J487" s="57"/>
    </row>
    <row r="488" spans="10:10" x14ac:dyDescent="0.45">
      <c r="J488" s="57"/>
    </row>
    <row r="489" spans="10:10" x14ac:dyDescent="0.45">
      <c r="J489" s="57"/>
    </row>
    <row r="490" spans="10:10" x14ac:dyDescent="0.45">
      <c r="J490" s="57"/>
    </row>
    <row r="491" spans="10:10" x14ac:dyDescent="0.45">
      <c r="J491" s="57"/>
    </row>
    <row r="492" spans="10:10" x14ac:dyDescent="0.45">
      <c r="J492" s="57"/>
    </row>
    <row r="493" spans="10:10" x14ac:dyDescent="0.45">
      <c r="J493" s="57"/>
    </row>
    <row r="494" spans="10:10" x14ac:dyDescent="0.45">
      <c r="J494" s="57"/>
    </row>
    <row r="495" spans="10:10" x14ac:dyDescent="0.45">
      <c r="J495" s="57"/>
    </row>
    <row r="496" spans="10:10" x14ac:dyDescent="0.45">
      <c r="J496" s="57"/>
    </row>
    <row r="497" spans="10:10" x14ac:dyDescent="0.45">
      <c r="J497" s="57"/>
    </row>
    <row r="498" spans="10:10" x14ac:dyDescent="0.45">
      <c r="J498" s="57"/>
    </row>
    <row r="499" spans="10:10" x14ac:dyDescent="0.45">
      <c r="J499" s="57"/>
    </row>
    <row r="500" spans="10:10" x14ac:dyDescent="0.45">
      <c r="J500" s="57"/>
    </row>
    <row r="501" spans="10:10" x14ac:dyDescent="0.45">
      <c r="J501" s="57"/>
    </row>
    <row r="502" spans="10:10" x14ac:dyDescent="0.45">
      <c r="J502" s="57"/>
    </row>
    <row r="503" spans="10:10" x14ac:dyDescent="0.45">
      <c r="J503" s="57"/>
    </row>
    <row r="504" spans="10:10" x14ac:dyDescent="0.45">
      <c r="J504" s="57"/>
    </row>
    <row r="505" spans="10:10" x14ac:dyDescent="0.45">
      <c r="J505" s="57"/>
    </row>
    <row r="506" spans="10:10" x14ac:dyDescent="0.45">
      <c r="J506" s="57"/>
    </row>
    <row r="507" spans="10:10" x14ac:dyDescent="0.45">
      <c r="J507" s="57"/>
    </row>
    <row r="508" spans="10:10" x14ac:dyDescent="0.45">
      <c r="J508" s="57"/>
    </row>
    <row r="509" spans="10:10" x14ac:dyDescent="0.45">
      <c r="J509" s="57"/>
    </row>
    <row r="510" spans="10:10" x14ac:dyDescent="0.45">
      <c r="J510" s="57"/>
    </row>
    <row r="511" spans="10:10" x14ac:dyDescent="0.45">
      <c r="J511" s="57"/>
    </row>
    <row r="512" spans="10:10" x14ac:dyDescent="0.45">
      <c r="J512" s="57"/>
    </row>
    <row r="513" spans="10:10" x14ac:dyDescent="0.45">
      <c r="J513" s="57"/>
    </row>
    <row r="514" spans="10:10" x14ac:dyDescent="0.45">
      <c r="J514" s="57"/>
    </row>
    <row r="515" spans="10:10" x14ac:dyDescent="0.45">
      <c r="J515" s="57"/>
    </row>
    <row r="516" spans="10:10" x14ac:dyDescent="0.45">
      <c r="J516" s="57"/>
    </row>
    <row r="517" spans="10:10" x14ac:dyDescent="0.45">
      <c r="J517" s="57"/>
    </row>
    <row r="518" spans="10:10" x14ac:dyDescent="0.45">
      <c r="J518" s="57"/>
    </row>
    <row r="519" spans="10:10" x14ac:dyDescent="0.45">
      <c r="J519" s="57"/>
    </row>
    <row r="520" spans="10:10" x14ac:dyDescent="0.45">
      <c r="J520" s="57"/>
    </row>
    <row r="521" spans="10:10" x14ac:dyDescent="0.45">
      <c r="J521" s="57"/>
    </row>
    <row r="522" spans="10:10" x14ac:dyDescent="0.45">
      <c r="J522" s="57"/>
    </row>
    <row r="523" spans="10:10" x14ac:dyDescent="0.45">
      <c r="J523" s="57"/>
    </row>
    <row r="524" spans="10:10" x14ac:dyDescent="0.45">
      <c r="J524" s="57"/>
    </row>
    <row r="525" spans="10:10" x14ac:dyDescent="0.45">
      <c r="J525" s="57"/>
    </row>
    <row r="526" spans="10:10" x14ac:dyDescent="0.45">
      <c r="J526" s="57"/>
    </row>
    <row r="527" spans="10:10" x14ac:dyDescent="0.45">
      <c r="J527" s="57"/>
    </row>
    <row r="528" spans="10:10" x14ac:dyDescent="0.45">
      <c r="J528" s="57"/>
    </row>
    <row r="529" spans="10:10" x14ac:dyDescent="0.45">
      <c r="J529" s="57"/>
    </row>
    <row r="530" spans="10:10" x14ac:dyDescent="0.45">
      <c r="J530" s="57"/>
    </row>
    <row r="531" spans="10:10" x14ac:dyDescent="0.45">
      <c r="J531" s="57"/>
    </row>
    <row r="532" spans="10:10" x14ac:dyDescent="0.45">
      <c r="J532" s="57"/>
    </row>
    <row r="533" spans="10:10" x14ac:dyDescent="0.45">
      <c r="J533" s="57"/>
    </row>
    <row r="534" spans="10:10" x14ac:dyDescent="0.45">
      <c r="J534" s="57"/>
    </row>
    <row r="535" spans="10:10" x14ac:dyDescent="0.45">
      <c r="J535" s="57"/>
    </row>
    <row r="536" spans="10:10" x14ac:dyDescent="0.45">
      <c r="J536" s="57"/>
    </row>
    <row r="537" spans="10:10" x14ac:dyDescent="0.45">
      <c r="J537" s="57"/>
    </row>
    <row r="538" spans="10:10" x14ac:dyDescent="0.45">
      <c r="J538" s="57"/>
    </row>
    <row r="539" spans="10:10" x14ac:dyDescent="0.45">
      <c r="J539" s="57"/>
    </row>
    <row r="540" spans="10:10" x14ac:dyDescent="0.45">
      <c r="J540" s="57"/>
    </row>
    <row r="541" spans="10:10" x14ac:dyDescent="0.45">
      <c r="J541" s="57"/>
    </row>
    <row r="542" spans="10:10" x14ac:dyDescent="0.45">
      <c r="J542" s="57"/>
    </row>
    <row r="543" spans="10:10" x14ac:dyDescent="0.45">
      <c r="J543" s="57"/>
    </row>
    <row r="544" spans="10:10" x14ac:dyDescent="0.45">
      <c r="J544" s="57"/>
    </row>
    <row r="545" spans="10:10" x14ac:dyDescent="0.45">
      <c r="J545" s="57"/>
    </row>
    <row r="546" spans="10:10" x14ac:dyDescent="0.45">
      <c r="J546" s="57"/>
    </row>
    <row r="547" spans="10:10" x14ac:dyDescent="0.45">
      <c r="J547" s="57"/>
    </row>
    <row r="548" spans="10:10" x14ac:dyDescent="0.45">
      <c r="J548" s="57"/>
    </row>
    <row r="549" spans="10:10" x14ac:dyDescent="0.45">
      <c r="J549" s="57"/>
    </row>
    <row r="550" spans="10:10" x14ac:dyDescent="0.45">
      <c r="J550" s="57"/>
    </row>
    <row r="551" spans="10:10" x14ac:dyDescent="0.45">
      <c r="J551" s="57"/>
    </row>
    <row r="552" spans="10:10" x14ac:dyDescent="0.45">
      <c r="J552" s="57"/>
    </row>
    <row r="553" spans="10:10" x14ac:dyDescent="0.45">
      <c r="J553" s="57"/>
    </row>
    <row r="554" spans="10:10" x14ac:dyDescent="0.45">
      <c r="J554" s="57"/>
    </row>
    <row r="555" spans="10:10" x14ac:dyDescent="0.45">
      <c r="J555" s="57"/>
    </row>
    <row r="556" spans="10:10" x14ac:dyDescent="0.45">
      <c r="J556" s="57"/>
    </row>
    <row r="557" spans="10:10" x14ac:dyDescent="0.45">
      <c r="J557" s="57"/>
    </row>
    <row r="558" spans="10:10" x14ac:dyDescent="0.45">
      <c r="J558" s="57"/>
    </row>
    <row r="559" spans="10:10" x14ac:dyDescent="0.45">
      <c r="J559" s="57"/>
    </row>
    <row r="560" spans="10:10" x14ac:dyDescent="0.45">
      <c r="J560" s="57"/>
    </row>
    <row r="561" spans="10:10" x14ac:dyDescent="0.45">
      <c r="J561" s="57"/>
    </row>
    <row r="562" spans="10:10" x14ac:dyDescent="0.45">
      <c r="J562" s="57"/>
    </row>
    <row r="563" spans="10:10" x14ac:dyDescent="0.45">
      <c r="J563" s="57"/>
    </row>
    <row r="564" spans="10:10" x14ac:dyDescent="0.45">
      <c r="J564" s="57"/>
    </row>
    <row r="565" spans="10:10" x14ac:dyDescent="0.45">
      <c r="J565" s="57"/>
    </row>
    <row r="566" spans="10:10" x14ac:dyDescent="0.45">
      <c r="J566" s="57"/>
    </row>
    <row r="567" spans="10:10" x14ac:dyDescent="0.45">
      <c r="J567" s="57"/>
    </row>
    <row r="568" spans="10:10" x14ac:dyDescent="0.45">
      <c r="J568" s="57"/>
    </row>
    <row r="569" spans="10:10" x14ac:dyDescent="0.45">
      <c r="J569" s="57"/>
    </row>
    <row r="570" spans="10:10" x14ac:dyDescent="0.45">
      <c r="J570" s="57"/>
    </row>
    <row r="571" spans="10:10" x14ac:dyDescent="0.45">
      <c r="J571" s="57"/>
    </row>
    <row r="572" spans="10:10" x14ac:dyDescent="0.45">
      <c r="J572" s="57"/>
    </row>
    <row r="573" spans="10:10" x14ac:dyDescent="0.45">
      <c r="J573" s="57"/>
    </row>
    <row r="574" spans="10:10" x14ac:dyDescent="0.45">
      <c r="J574" s="57"/>
    </row>
    <row r="575" spans="10:10" x14ac:dyDescent="0.45">
      <c r="J575" s="57"/>
    </row>
    <row r="576" spans="10:10" x14ac:dyDescent="0.45">
      <c r="J576" s="57"/>
    </row>
    <row r="577" spans="10:10" x14ac:dyDescent="0.45">
      <c r="J577" s="57"/>
    </row>
    <row r="578" spans="10:10" x14ac:dyDescent="0.45">
      <c r="J578" s="57"/>
    </row>
    <row r="579" spans="10:10" x14ac:dyDescent="0.45">
      <c r="J579" s="57"/>
    </row>
    <row r="580" spans="10:10" x14ac:dyDescent="0.45">
      <c r="J580" s="57"/>
    </row>
    <row r="581" spans="10:10" x14ac:dyDescent="0.45">
      <c r="J581" s="57"/>
    </row>
    <row r="582" spans="10:10" x14ac:dyDescent="0.45">
      <c r="J582" s="57"/>
    </row>
    <row r="583" spans="10:10" x14ac:dyDescent="0.45">
      <c r="J583" s="57"/>
    </row>
    <row r="584" spans="10:10" x14ac:dyDescent="0.45">
      <c r="J584" s="57"/>
    </row>
    <row r="585" spans="10:10" x14ac:dyDescent="0.45">
      <c r="J585" s="57"/>
    </row>
    <row r="586" spans="10:10" x14ac:dyDescent="0.45">
      <c r="J586" s="57"/>
    </row>
    <row r="587" spans="10:10" x14ac:dyDescent="0.45">
      <c r="J587" s="57"/>
    </row>
    <row r="588" spans="10:10" x14ac:dyDescent="0.45">
      <c r="J588" s="57"/>
    </row>
    <row r="589" spans="10:10" x14ac:dyDescent="0.45">
      <c r="J589" s="57"/>
    </row>
    <row r="590" spans="10:10" x14ac:dyDescent="0.45">
      <c r="J590" s="57"/>
    </row>
    <row r="591" spans="10:10" x14ac:dyDescent="0.45">
      <c r="J591" s="57"/>
    </row>
    <row r="592" spans="10:10" x14ac:dyDescent="0.45">
      <c r="J592" s="57"/>
    </row>
    <row r="593" spans="10:10" x14ac:dyDescent="0.45">
      <c r="J593" s="57"/>
    </row>
    <row r="594" spans="10:10" x14ac:dyDescent="0.45">
      <c r="J594" s="57"/>
    </row>
    <row r="595" spans="10:10" x14ac:dyDescent="0.45">
      <c r="J595" s="57"/>
    </row>
    <row r="596" spans="10:10" x14ac:dyDescent="0.45">
      <c r="J596" s="57"/>
    </row>
    <row r="597" spans="10:10" x14ac:dyDescent="0.45">
      <c r="J597" s="57"/>
    </row>
    <row r="598" spans="10:10" x14ac:dyDescent="0.45">
      <c r="J598" s="57"/>
    </row>
    <row r="599" spans="10:10" x14ac:dyDescent="0.45">
      <c r="J599" s="57"/>
    </row>
    <row r="600" spans="10:10" x14ac:dyDescent="0.45">
      <c r="J600" s="57"/>
    </row>
    <row r="601" spans="10:10" x14ac:dyDescent="0.45">
      <c r="J601" s="57"/>
    </row>
    <row r="602" spans="10:10" x14ac:dyDescent="0.45">
      <c r="J602" s="57"/>
    </row>
    <row r="603" spans="10:10" x14ac:dyDescent="0.45">
      <c r="J603" s="57"/>
    </row>
    <row r="604" spans="10:10" x14ac:dyDescent="0.45">
      <c r="J604" s="57"/>
    </row>
    <row r="605" spans="10:10" x14ac:dyDescent="0.45">
      <c r="J605" s="57"/>
    </row>
    <row r="606" spans="10:10" x14ac:dyDescent="0.45">
      <c r="J606" s="57"/>
    </row>
    <row r="607" spans="10:10" x14ac:dyDescent="0.45">
      <c r="J607" s="57"/>
    </row>
    <row r="608" spans="10:10" x14ac:dyDescent="0.45">
      <c r="J608" s="57"/>
    </row>
    <row r="609" spans="10:10" x14ac:dyDescent="0.45">
      <c r="J609" s="57"/>
    </row>
    <row r="610" spans="10:10" x14ac:dyDescent="0.45">
      <c r="J610" s="57"/>
    </row>
    <row r="611" spans="10:10" x14ac:dyDescent="0.45">
      <c r="J611" s="57"/>
    </row>
    <row r="612" spans="10:10" x14ac:dyDescent="0.45">
      <c r="J612" s="57"/>
    </row>
    <row r="613" spans="10:10" x14ac:dyDescent="0.45">
      <c r="J613" s="57"/>
    </row>
    <row r="614" spans="10:10" x14ac:dyDescent="0.45">
      <c r="J614" s="57"/>
    </row>
    <row r="615" spans="10:10" x14ac:dyDescent="0.45">
      <c r="J615" s="57"/>
    </row>
    <row r="616" spans="10:10" x14ac:dyDescent="0.45">
      <c r="J616" s="57"/>
    </row>
    <row r="617" spans="10:10" x14ac:dyDescent="0.45">
      <c r="J617" s="57"/>
    </row>
    <row r="618" spans="10:10" x14ac:dyDescent="0.45">
      <c r="J618" s="57"/>
    </row>
    <row r="619" spans="10:10" x14ac:dyDescent="0.45">
      <c r="J619" s="57"/>
    </row>
    <row r="620" spans="10:10" x14ac:dyDescent="0.45">
      <c r="J620" s="57"/>
    </row>
    <row r="621" spans="10:10" x14ac:dyDescent="0.45">
      <c r="J621" s="57"/>
    </row>
    <row r="622" spans="10:10" x14ac:dyDescent="0.45">
      <c r="J622" s="57"/>
    </row>
    <row r="623" spans="10:10" x14ac:dyDescent="0.45">
      <c r="J623" s="57"/>
    </row>
    <row r="624" spans="10:10" x14ac:dyDescent="0.45">
      <c r="J624" s="57"/>
    </row>
    <row r="625" spans="10:10" x14ac:dyDescent="0.45">
      <c r="J625" s="57"/>
    </row>
    <row r="626" spans="10:10" x14ac:dyDescent="0.45">
      <c r="J626" s="57"/>
    </row>
    <row r="627" spans="10:10" x14ac:dyDescent="0.45">
      <c r="J627" s="57"/>
    </row>
    <row r="628" spans="10:10" x14ac:dyDescent="0.45">
      <c r="J628" s="57"/>
    </row>
    <row r="629" spans="10:10" x14ac:dyDescent="0.45">
      <c r="J629" s="57"/>
    </row>
    <row r="630" spans="10:10" x14ac:dyDescent="0.45">
      <c r="J630" s="57"/>
    </row>
    <row r="631" spans="10:10" x14ac:dyDescent="0.45">
      <c r="J631" s="57"/>
    </row>
    <row r="632" spans="10:10" x14ac:dyDescent="0.45">
      <c r="J632" s="57"/>
    </row>
    <row r="633" spans="10:10" x14ac:dyDescent="0.45">
      <c r="J633" s="57"/>
    </row>
    <row r="634" spans="10:10" x14ac:dyDescent="0.45">
      <c r="J634" s="57"/>
    </row>
    <row r="635" spans="10:10" x14ac:dyDescent="0.45">
      <c r="J635" s="57"/>
    </row>
    <row r="636" spans="10:10" x14ac:dyDescent="0.45">
      <c r="J636" s="57"/>
    </row>
    <row r="637" spans="10:10" x14ac:dyDescent="0.45">
      <c r="J637" s="57"/>
    </row>
    <row r="638" spans="10:10" x14ac:dyDescent="0.45">
      <c r="J638" s="57"/>
    </row>
    <row r="639" spans="10:10" x14ac:dyDescent="0.45">
      <c r="J639" s="57"/>
    </row>
    <row r="640" spans="10:10" x14ac:dyDescent="0.45">
      <c r="J640" s="57"/>
    </row>
    <row r="641" spans="10:10" x14ac:dyDescent="0.45">
      <c r="J641" s="57"/>
    </row>
    <row r="642" spans="10:10" x14ac:dyDescent="0.45">
      <c r="J642" s="57"/>
    </row>
    <row r="643" spans="10:10" x14ac:dyDescent="0.45">
      <c r="J643" s="57"/>
    </row>
    <row r="644" spans="10:10" x14ac:dyDescent="0.45">
      <c r="J644" s="57"/>
    </row>
    <row r="645" spans="10:10" x14ac:dyDescent="0.45">
      <c r="J645" s="57"/>
    </row>
    <row r="646" spans="10:10" x14ac:dyDescent="0.45">
      <c r="J646" s="57"/>
    </row>
    <row r="647" spans="10:10" x14ac:dyDescent="0.45">
      <c r="J647" s="57"/>
    </row>
    <row r="648" spans="10:10" x14ac:dyDescent="0.45">
      <c r="J648" s="57"/>
    </row>
    <row r="649" spans="10:10" x14ac:dyDescent="0.45">
      <c r="J649" s="57"/>
    </row>
    <row r="650" spans="10:10" x14ac:dyDescent="0.45">
      <c r="J650" s="57"/>
    </row>
    <row r="651" spans="10:10" x14ac:dyDescent="0.45">
      <c r="J651" s="57"/>
    </row>
    <row r="652" spans="10:10" x14ac:dyDescent="0.45">
      <c r="J652" s="57"/>
    </row>
    <row r="653" spans="10:10" x14ac:dyDescent="0.45">
      <c r="J653" s="57"/>
    </row>
    <row r="654" spans="10:10" x14ac:dyDescent="0.45">
      <c r="J654" s="57"/>
    </row>
    <row r="655" spans="10:10" x14ac:dyDescent="0.45">
      <c r="J655" s="57"/>
    </row>
    <row r="656" spans="10:10" x14ac:dyDescent="0.45">
      <c r="J656" s="57"/>
    </row>
    <row r="657" spans="10:10" x14ac:dyDescent="0.45">
      <c r="J657" s="57"/>
    </row>
    <row r="658" spans="10:10" x14ac:dyDescent="0.45">
      <c r="J658" s="57"/>
    </row>
    <row r="659" spans="10:10" x14ac:dyDescent="0.45">
      <c r="J659" s="57"/>
    </row>
    <row r="660" spans="10:10" x14ac:dyDescent="0.45">
      <c r="J660" s="57"/>
    </row>
    <row r="661" spans="10:10" x14ac:dyDescent="0.45">
      <c r="J661" s="57"/>
    </row>
    <row r="662" spans="10:10" x14ac:dyDescent="0.45">
      <c r="J662" s="57"/>
    </row>
    <row r="663" spans="10:10" x14ac:dyDescent="0.45">
      <c r="J663" s="57"/>
    </row>
    <row r="664" spans="10:10" x14ac:dyDescent="0.45">
      <c r="J664" s="57"/>
    </row>
    <row r="665" spans="10:10" x14ac:dyDescent="0.45">
      <c r="J665" s="57"/>
    </row>
    <row r="666" spans="10:10" x14ac:dyDescent="0.45">
      <c r="J666" s="57"/>
    </row>
    <row r="667" spans="10:10" x14ac:dyDescent="0.45">
      <c r="J667" s="57"/>
    </row>
    <row r="668" spans="10:10" x14ac:dyDescent="0.45">
      <c r="J668" s="57"/>
    </row>
    <row r="669" spans="10:10" x14ac:dyDescent="0.45">
      <c r="J669" s="57"/>
    </row>
    <row r="670" spans="10:10" x14ac:dyDescent="0.45">
      <c r="J670" s="57"/>
    </row>
    <row r="671" spans="10:10" x14ac:dyDescent="0.45">
      <c r="J671" s="57"/>
    </row>
    <row r="672" spans="10:10" x14ac:dyDescent="0.45">
      <c r="J672" s="57"/>
    </row>
    <row r="673" spans="10:10" x14ac:dyDescent="0.45">
      <c r="J673" s="57"/>
    </row>
    <row r="674" spans="10:10" x14ac:dyDescent="0.45">
      <c r="J674" s="57"/>
    </row>
    <row r="675" spans="10:10" x14ac:dyDescent="0.45">
      <c r="J675" s="57"/>
    </row>
    <row r="676" spans="10:10" x14ac:dyDescent="0.45">
      <c r="J676" s="57"/>
    </row>
    <row r="677" spans="10:10" x14ac:dyDescent="0.45">
      <c r="J677" s="57"/>
    </row>
    <row r="678" spans="10:10" x14ac:dyDescent="0.45">
      <c r="J678" s="57"/>
    </row>
    <row r="679" spans="10:10" x14ac:dyDescent="0.45">
      <c r="J679" s="57"/>
    </row>
    <row r="680" spans="10:10" x14ac:dyDescent="0.45">
      <c r="J680" s="57"/>
    </row>
    <row r="681" spans="10:10" x14ac:dyDescent="0.45">
      <c r="J681" s="57"/>
    </row>
    <row r="682" spans="10:10" x14ac:dyDescent="0.45">
      <c r="J682" s="57"/>
    </row>
    <row r="683" spans="10:10" x14ac:dyDescent="0.45">
      <c r="J683" s="57"/>
    </row>
    <row r="684" spans="10:10" x14ac:dyDescent="0.45">
      <c r="J684" s="57"/>
    </row>
    <row r="685" spans="10:10" x14ac:dyDescent="0.45">
      <c r="J685" s="57"/>
    </row>
    <row r="686" spans="10:10" x14ac:dyDescent="0.45">
      <c r="J686" s="57"/>
    </row>
    <row r="687" spans="10:10" x14ac:dyDescent="0.45">
      <c r="J687" s="57"/>
    </row>
    <row r="688" spans="10:10" x14ac:dyDescent="0.45">
      <c r="J688" s="57"/>
    </row>
    <row r="689" spans="10:10" x14ac:dyDescent="0.45">
      <c r="J689" s="57"/>
    </row>
    <row r="690" spans="10:10" x14ac:dyDescent="0.45">
      <c r="J690" s="57"/>
    </row>
    <row r="691" spans="10:10" x14ac:dyDescent="0.45">
      <c r="J691" s="57"/>
    </row>
    <row r="692" spans="10:10" x14ac:dyDescent="0.45">
      <c r="J692" s="57"/>
    </row>
    <row r="693" spans="10:10" x14ac:dyDescent="0.45">
      <c r="J693" s="57"/>
    </row>
    <row r="694" spans="10:10" x14ac:dyDescent="0.45">
      <c r="J694" s="57"/>
    </row>
    <row r="695" spans="10:10" x14ac:dyDescent="0.45">
      <c r="J695" s="57"/>
    </row>
    <row r="696" spans="10:10" x14ac:dyDescent="0.45">
      <c r="J696" s="57"/>
    </row>
    <row r="697" spans="10:10" x14ac:dyDescent="0.45">
      <c r="J697" s="57"/>
    </row>
    <row r="698" spans="10:10" x14ac:dyDescent="0.45">
      <c r="J698" s="57"/>
    </row>
    <row r="699" spans="10:10" x14ac:dyDescent="0.45">
      <c r="J699" s="57"/>
    </row>
    <row r="700" spans="10:10" x14ac:dyDescent="0.45">
      <c r="J700" s="57"/>
    </row>
    <row r="701" spans="10:10" x14ac:dyDescent="0.45">
      <c r="J701" s="57"/>
    </row>
    <row r="702" spans="10:10" x14ac:dyDescent="0.45">
      <c r="J702" s="57"/>
    </row>
    <row r="703" spans="10:10" x14ac:dyDescent="0.45">
      <c r="J703" s="57"/>
    </row>
    <row r="704" spans="10:10" x14ac:dyDescent="0.45">
      <c r="J704" s="57"/>
    </row>
    <row r="705" spans="10:10" x14ac:dyDescent="0.45">
      <c r="J705" s="57"/>
    </row>
    <row r="706" spans="10:10" x14ac:dyDescent="0.45">
      <c r="J706" s="57"/>
    </row>
    <row r="707" spans="10:10" x14ac:dyDescent="0.45">
      <c r="J707" s="57"/>
    </row>
    <row r="708" spans="10:10" x14ac:dyDescent="0.45">
      <c r="J708" s="57"/>
    </row>
    <row r="709" spans="10:10" x14ac:dyDescent="0.45">
      <c r="J709" s="57"/>
    </row>
    <row r="710" spans="10:10" x14ac:dyDescent="0.45">
      <c r="J710" s="57"/>
    </row>
    <row r="711" spans="10:10" x14ac:dyDescent="0.45">
      <c r="J711" s="57"/>
    </row>
    <row r="712" spans="10:10" x14ac:dyDescent="0.45">
      <c r="J712" s="57"/>
    </row>
    <row r="713" spans="10:10" x14ac:dyDescent="0.45">
      <c r="J713" s="57"/>
    </row>
    <row r="714" spans="10:10" x14ac:dyDescent="0.45">
      <c r="J714" s="57"/>
    </row>
    <row r="715" spans="10:10" x14ac:dyDescent="0.45">
      <c r="J715" s="57"/>
    </row>
    <row r="716" spans="10:10" x14ac:dyDescent="0.45">
      <c r="J716" s="57"/>
    </row>
    <row r="717" spans="10:10" x14ac:dyDescent="0.45">
      <c r="J717" s="57"/>
    </row>
    <row r="718" spans="10:10" x14ac:dyDescent="0.45">
      <c r="J718" s="57"/>
    </row>
    <row r="719" spans="10:10" x14ac:dyDescent="0.45">
      <c r="J719" s="57"/>
    </row>
    <row r="720" spans="10:10" x14ac:dyDescent="0.45">
      <c r="J720" s="57"/>
    </row>
    <row r="721" spans="10:10" x14ac:dyDescent="0.45">
      <c r="J721" s="57"/>
    </row>
    <row r="722" spans="10:10" x14ac:dyDescent="0.45">
      <c r="J722" s="57"/>
    </row>
    <row r="723" spans="10:10" x14ac:dyDescent="0.45">
      <c r="J723" s="57"/>
    </row>
    <row r="724" spans="10:10" x14ac:dyDescent="0.45">
      <c r="J724" s="57"/>
    </row>
    <row r="725" spans="10:10" x14ac:dyDescent="0.45">
      <c r="J725" s="57"/>
    </row>
    <row r="726" spans="10:10" x14ac:dyDescent="0.45">
      <c r="J726" s="57"/>
    </row>
    <row r="727" spans="10:10" x14ac:dyDescent="0.45">
      <c r="J727" s="57"/>
    </row>
    <row r="728" spans="10:10" x14ac:dyDescent="0.45">
      <c r="J728" s="57"/>
    </row>
    <row r="729" spans="10:10" x14ac:dyDescent="0.45">
      <c r="J729" s="57"/>
    </row>
    <row r="730" spans="10:10" x14ac:dyDescent="0.45">
      <c r="J730" s="57"/>
    </row>
    <row r="731" spans="10:10" x14ac:dyDescent="0.45">
      <c r="J731" s="57"/>
    </row>
    <row r="732" spans="10:10" x14ac:dyDescent="0.45">
      <c r="J732" s="57"/>
    </row>
    <row r="733" spans="10:10" x14ac:dyDescent="0.45">
      <c r="J733" s="57"/>
    </row>
    <row r="734" spans="10:10" x14ac:dyDescent="0.45">
      <c r="J734" s="57"/>
    </row>
    <row r="735" spans="10:10" x14ac:dyDescent="0.45">
      <c r="J735" s="57"/>
    </row>
    <row r="736" spans="10:10" x14ac:dyDescent="0.45">
      <c r="J736" s="57"/>
    </row>
    <row r="737" spans="10:10" x14ac:dyDescent="0.45">
      <c r="J737" s="57"/>
    </row>
    <row r="738" spans="10:10" x14ac:dyDescent="0.45">
      <c r="J738" s="57"/>
    </row>
    <row r="739" spans="10:10" x14ac:dyDescent="0.45">
      <c r="J739" s="57"/>
    </row>
    <row r="740" spans="10:10" x14ac:dyDescent="0.45">
      <c r="J740" s="57"/>
    </row>
    <row r="741" spans="10:10" x14ac:dyDescent="0.45">
      <c r="J741" s="57"/>
    </row>
    <row r="742" spans="10:10" x14ac:dyDescent="0.45">
      <c r="J742" s="57"/>
    </row>
    <row r="743" spans="10:10" x14ac:dyDescent="0.45">
      <c r="J743" s="57"/>
    </row>
    <row r="744" spans="10:10" x14ac:dyDescent="0.45">
      <c r="J744" s="57"/>
    </row>
    <row r="745" spans="10:10" x14ac:dyDescent="0.45">
      <c r="J745" s="57"/>
    </row>
    <row r="746" spans="10:10" x14ac:dyDescent="0.45">
      <c r="J746" s="57"/>
    </row>
    <row r="747" spans="10:10" x14ac:dyDescent="0.45">
      <c r="J747" s="57"/>
    </row>
    <row r="748" spans="10:10" x14ac:dyDescent="0.45">
      <c r="J748" s="57"/>
    </row>
    <row r="749" spans="10:10" x14ac:dyDescent="0.45">
      <c r="J749" s="57"/>
    </row>
    <row r="750" spans="10:10" x14ac:dyDescent="0.45">
      <c r="J750" s="57"/>
    </row>
    <row r="751" spans="10:10" x14ac:dyDescent="0.45">
      <c r="J751" s="57"/>
    </row>
    <row r="752" spans="10:10" x14ac:dyDescent="0.45">
      <c r="J752" s="57"/>
    </row>
    <row r="753" spans="10:10" x14ac:dyDescent="0.45">
      <c r="J753" s="57"/>
    </row>
    <row r="754" spans="10:10" x14ac:dyDescent="0.45">
      <c r="J754" s="57"/>
    </row>
    <row r="755" spans="10:10" x14ac:dyDescent="0.45">
      <c r="J755" s="57"/>
    </row>
    <row r="756" spans="10:10" x14ac:dyDescent="0.45">
      <c r="J756" s="57"/>
    </row>
    <row r="757" spans="10:10" x14ac:dyDescent="0.45">
      <c r="J757" s="57"/>
    </row>
    <row r="758" spans="10:10" x14ac:dyDescent="0.45">
      <c r="J758" s="57"/>
    </row>
    <row r="759" spans="10:10" x14ac:dyDescent="0.45">
      <c r="J759" s="57"/>
    </row>
    <row r="760" spans="10:10" x14ac:dyDescent="0.45">
      <c r="J760" s="57"/>
    </row>
    <row r="761" spans="10:10" x14ac:dyDescent="0.45">
      <c r="J761" s="57"/>
    </row>
    <row r="762" spans="10:10" x14ac:dyDescent="0.45">
      <c r="J762" s="57"/>
    </row>
    <row r="763" spans="10:10" x14ac:dyDescent="0.45">
      <c r="J763" s="57"/>
    </row>
    <row r="764" spans="10:10" x14ac:dyDescent="0.45">
      <c r="J764" s="57"/>
    </row>
    <row r="765" spans="10:10" x14ac:dyDescent="0.45">
      <c r="J765" s="57"/>
    </row>
    <row r="766" spans="10:10" x14ac:dyDescent="0.45">
      <c r="J766" s="57"/>
    </row>
    <row r="767" spans="10:10" x14ac:dyDescent="0.45">
      <c r="J767" s="57"/>
    </row>
    <row r="768" spans="10:10" x14ac:dyDescent="0.45">
      <c r="J768" s="57"/>
    </row>
    <row r="769" spans="10:10" x14ac:dyDescent="0.45">
      <c r="J769" s="57"/>
    </row>
    <row r="770" spans="10:10" x14ac:dyDescent="0.45">
      <c r="J770" s="57"/>
    </row>
    <row r="771" spans="10:10" x14ac:dyDescent="0.45">
      <c r="J771" s="57"/>
    </row>
    <row r="772" spans="10:10" x14ac:dyDescent="0.45">
      <c r="J772" s="57"/>
    </row>
    <row r="773" spans="10:10" x14ac:dyDescent="0.45">
      <c r="J773" s="57"/>
    </row>
    <row r="774" spans="10:10" x14ac:dyDescent="0.45">
      <c r="J774" s="57"/>
    </row>
    <row r="775" spans="10:10" x14ac:dyDescent="0.45">
      <c r="J775" s="57"/>
    </row>
    <row r="776" spans="10:10" x14ac:dyDescent="0.45">
      <c r="J776" s="57"/>
    </row>
    <row r="777" spans="10:10" x14ac:dyDescent="0.45">
      <c r="J777" s="57"/>
    </row>
    <row r="778" spans="10:10" x14ac:dyDescent="0.45">
      <c r="J778" s="57"/>
    </row>
    <row r="779" spans="10:10" x14ac:dyDescent="0.45">
      <c r="J779" s="57"/>
    </row>
    <row r="780" spans="10:10" x14ac:dyDescent="0.45">
      <c r="J780" s="57"/>
    </row>
    <row r="781" spans="10:10" x14ac:dyDescent="0.45">
      <c r="J781" s="57"/>
    </row>
    <row r="782" spans="10:10" x14ac:dyDescent="0.45">
      <c r="J782" s="57"/>
    </row>
    <row r="783" spans="10:10" x14ac:dyDescent="0.45">
      <c r="J783" s="57"/>
    </row>
    <row r="784" spans="10:10" x14ac:dyDescent="0.45">
      <c r="J784" s="57"/>
    </row>
    <row r="785" spans="10:10" x14ac:dyDescent="0.45">
      <c r="J785" s="57"/>
    </row>
    <row r="786" spans="10:10" x14ac:dyDescent="0.45">
      <c r="J786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Q1 - CALCULATOR</vt:lpstr>
      <vt:lpstr>Q2 - SECURITY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Pedigo</dc:creator>
  <cp:lastModifiedBy>Nate Pedigo</cp:lastModifiedBy>
  <dcterms:created xsi:type="dcterms:W3CDTF">2025-11-04T17:05:00Z</dcterms:created>
  <dcterms:modified xsi:type="dcterms:W3CDTF">2025-11-05T19:15:00Z</dcterms:modified>
</cp:coreProperties>
</file>