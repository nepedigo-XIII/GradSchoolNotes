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ock\Desktop\school\GRAD\FI\T1\"/>
    </mc:Choice>
  </mc:AlternateContent>
  <xr:revisionPtr revIDLastSave="0" documentId="13_ncr:1_{9FF9E0DB-717A-484A-9566-820D5D87B0BE}" xr6:coauthVersionLast="47" xr6:coauthVersionMax="47" xr10:uidLastSave="{00000000-0000-0000-0000-000000000000}"/>
  <bookViews>
    <workbookView xWindow="-98" yWindow="-98" windowWidth="22695" windowHeight="14476" xr2:uid="{2D0D4377-C1B1-4B42-A577-3D8692B0267D}"/>
  </bookViews>
  <sheets>
    <sheet name="Q1 - CALCULATOR" sheetId="4" r:id="rId1"/>
    <sheet name="Sheet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8" i="4" l="1"/>
  <c r="E31" i="4" l="1"/>
  <c r="E25" i="4"/>
  <c r="D31" i="4"/>
  <c r="D27" i="4"/>
  <c r="E27" i="4" s="1"/>
  <c r="D28" i="4"/>
  <c r="E28" i="4" s="1"/>
  <c r="D29" i="4"/>
  <c r="E29" i="4" s="1"/>
  <c r="D30" i="4"/>
  <c r="E30" i="4" s="1"/>
  <c r="D26" i="4"/>
  <c r="E26" i="4" s="1"/>
  <c r="D25" i="4"/>
  <c r="B31" i="4"/>
  <c r="B27" i="4"/>
  <c r="B28" i="4"/>
  <c r="C28" i="4" s="1"/>
  <c r="B29" i="4"/>
  <c r="C29" i="4" s="1"/>
  <c r="B30" i="4"/>
  <c r="B26" i="4"/>
  <c r="C26" i="4" s="1"/>
  <c r="B25" i="4"/>
  <c r="C30" i="4"/>
  <c r="C27" i="4"/>
  <c r="C22" i="4"/>
  <c r="E9" i="4"/>
  <c r="F9" i="4" s="1"/>
  <c r="E5" i="4"/>
  <c r="F5" i="4" s="1"/>
  <c r="E6" i="4"/>
  <c r="F6" i="4" s="1"/>
  <c r="E7" i="4"/>
  <c r="F7" i="4" s="1"/>
  <c r="E8" i="4"/>
  <c r="F8" i="4" s="1"/>
  <c r="E4" i="4"/>
  <c r="F4" i="4" s="1"/>
  <c r="E3" i="4"/>
  <c r="F3" i="4" s="1"/>
  <c r="D35" i="4" l="1"/>
  <c r="B35" i="4"/>
  <c r="E35" i="4"/>
  <c r="B40" i="4" s="1"/>
  <c r="C31" i="4"/>
  <c r="C25" i="4"/>
  <c r="B11" i="4"/>
  <c r="E13" i="4"/>
  <c r="F13" i="4"/>
  <c r="B10" i="4" s="1"/>
  <c r="B13" i="4" s="1"/>
  <c r="C35" i="4" l="1"/>
</calcChain>
</file>

<file path=xl/sharedStrings.xml><?xml version="1.0" encoding="utf-8"?>
<sst xmlns="http://schemas.openxmlformats.org/spreadsheetml/2006/main" count="45" uniqueCount="38">
  <si>
    <t>Sellback Price</t>
  </si>
  <si>
    <t>NPV</t>
  </si>
  <si>
    <t>IRR</t>
  </si>
  <si>
    <t>T</t>
  </si>
  <si>
    <t>CF</t>
  </si>
  <si>
    <t>DCF</t>
  </si>
  <si>
    <t>Invest</t>
  </si>
  <si>
    <t>For the Security</t>
  </si>
  <si>
    <t>Average monthly return</t>
  </si>
  <si>
    <t>Alpha</t>
  </si>
  <si>
    <t>Beta</t>
  </si>
  <si>
    <t>Sharpe</t>
  </si>
  <si>
    <t>5%VaR</t>
  </si>
  <si>
    <t>5% CVaR</t>
  </si>
  <si>
    <t>Compute for both fund and the market</t>
  </si>
  <si>
    <t>Good investment?s</t>
  </si>
  <si>
    <t>Sharpe is average return / stddev</t>
  </si>
  <si>
    <t>Stated WACC</t>
  </si>
  <si>
    <t>Initial Cost</t>
  </si>
  <si>
    <t>Yearly CashFlow</t>
  </si>
  <si>
    <t>Questions</t>
  </si>
  <si>
    <t>Accept / Decline?</t>
  </si>
  <si>
    <t>SUM</t>
  </si>
  <si>
    <t>PayBack?</t>
  </si>
  <si>
    <t>Project Approval Question INPUTS</t>
  </si>
  <si>
    <t>PART 1</t>
  </si>
  <si>
    <t>PART 2</t>
  </si>
  <si>
    <t>Future INPUTS</t>
  </si>
  <si>
    <t>GOOD MARKET</t>
  </si>
  <si>
    <t>BAD MARKET</t>
  </si>
  <si>
    <t>PROB (P)</t>
  </si>
  <si>
    <t>CF GOOD</t>
  </si>
  <si>
    <t>DCF GOOD</t>
  </si>
  <si>
    <t>^ NPV</t>
  </si>
  <si>
    <t>CF BAD</t>
  </si>
  <si>
    <t>DCF BAD</t>
  </si>
  <si>
    <t>NPV OF WAITING</t>
  </si>
  <si>
    <t>MAX PAY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</si>
</sst>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5" formatCode="0.00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i/>
      <sz val="12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79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1">
    <xf numFmtId="0" fontId="0" fillId="0" borderId="0" xfId="0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Border="1"/>
    <xf numFmtId="0" fontId="0" fillId="0" borderId="7" xfId="0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44" fontId="0" fillId="0" borderId="6" xfId="0" applyNumberFormat="1" applyBorder="1"/>
    <xf numFmtId="44" fontId="0" fillId="0" borderId="9" xfId="0" applyNumberFormat="1" applyBorder="1"/>
    <xf numFmtId="44" fontId="0" fillId="0" borderId="11" xfId="1" applyFont="1" applyBorder="1"/>
    <xf numFmtId="44" fontId="0" fillId="0" borderId="12" xfId="1" applyFont="1" applyBorder="1"/>
    <xf numFmtId="44" fontId="0" fillId="3" borderId="0" xfId="1" applyFont="1" applyFill="1" applyBorder="1"/>
    <xf numFmtId="44" fontId="0" fillId="3" borderId="8" xfId="1" applyFont="1" applyFill="1" applyBorder="1"/>
    <xf numFmtId="0" fontId="0" fillId="0" borderId="5" xfId="0" applyBorder="1"/>
    <xf numFmtId="10" fontId="0" fillId="0" borderId="6" xfId="2" applyNumberFormat="1" applyFont="1" applyBorder="1"/>
    <xf numFmtId="44" fontId="0" fillId="0" borderId="6" xfId="1" applyFont="1" applyBorder="1"/>
    <xf numFmtId="44" fontId="0" fillId="0" borderId="9" xfId="1" applyFont="1" applyBorder="1"/>
    <xf numFmtId="0" fontId="2" fillId="2" borderId="10" xfId="0" applyFont="1" applyFill="1" applyBorder="1"/>
    <xf numFmtId="0" fontId="0" fillId="2" borderId="12" xfId="0" applyFill="1" applyBorder="1"/>
    <xf numFmtId="165" fontId="0" fillId="0" borderId="6" xfId="0" applyNumberFormat="1" applyBorder="1"/>
    <xf numFmtId="44" fontId="0" fillId="0" borderId="4" xfId="0" applyNumberFormat="1" applyBorder="1"/>
    <xf numFmtId="0" fontId="0" fillId="5" borderId="7" xfId="0" applyFill="1" applyBorder="1"/>
    <xf numFmtId="0" fontId="0" fillId="5" borderId="9" xfId="0" applyFont="1" applyFill="1" applyBorder="1" applyAlignment="1">
      <alignment horizontal="center"/>
    </xf>
    <xf numFmtId="0" fontId="0" fillId="3" borderId="13" xfId="0" applyFill="1" applyBorder="1"/>
    <xf numFmtId="0" fontId="0" fillId="3" borderId="14" xfId="0" applyFill="1" applyBorder="1"/>
    <xf numFmtId="0" fontId="0" fillId="3" borderId="15" xfId="0" applyFill="1" applyBorder="1"/>
    <xf numFmtId="0" fontId="0" fillId="6" borderId="13" xfId="0" applyFill="1" applyBorder="1"/>
    <xf numFmtId="0" fontId="0" fillId="6" borderId="14" xfId="0" applyFill="1" applyBorder="1"/>
    <xf numFmtId="0" fontId="0" fillId="6" borderId="15" xfId="0" applyFill="1" applyBorder="1"/>
    <xf numFmtId="0" fontId="0" fillId="2" borderId="1" xfId="0" applyFill="1" applyBorder="1"/>
    <xf numFmtId="0" fontId="4" fillId="8" borderId="2" xfId="0" applyFont="1" applyFill="1" applyBorder="1"/>
    <xf numFmtId="0" fontId="0" fillId="8" borderId="3" xfId="0" applyFill="1" applyBorder="1"/>
    <xf numFmtId="0" fontId="0" fillId="8" borderId="4" xfId="0" applyFill="1" applyBorder="1"/>
    <xf numFmtId="0" fontId="0" fillId="0" borderId="0" xfId="0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4" borderId="1" xfId="0" applyFill="1" applyBorder="1"/>
    <xf numFmtId="0" fontId="0" fillId="6" borderId="1" xfId="0" applyFill="1" applyBorder="1"/>
    <xf numFmtId="10" fontId="0" fillId="0" borderId="11" xfId="2" applyNumberFormat="1" applyFont="1" applyBorder="1"/>
    <xf numFmtId="10" fontId="0" fillId="0" borderId="1" xfId="2" applyNumberFormat="1" applyFont="1" applyBorder="1"/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44" fontId="0" fillId="0" borderId="13" xfId="0" applyNumberFormat="1" applyBorder="1"/>
    <xf numFmtId="44" fontId="0" fillId="0" borderId="14" xfId="0" applyNumberFormat="1" applyBorder="1"/>
    <xf numFmtId="44" fontId="0" fillId="0" borderId="15" xfId="0" applyNumberFormat="1" applyBorder="1"/>
    <xf numFmtId="0" fontId="3" fillId="8" borderId="1" xfId="0" applyFont="1" applyFill="1" applyBorder="1"/>
    <xf numFmtId="44" fontId="0" fillId="0" borderId="1" xfId="0" applyNumberFormat="1" applyBorder="1"/>
  </cellXfs>
  <cellStyles count="3">
    <cellStyle name="Currency" xfId="1" builtinId="4"/>
    <cellStyle name="Normal" xfId="0" builtinId="0"/>
    <cellStyle name="Percent" xfId="2" builtinId="5"/>
  </cellStyles>
  <dxfs count="2">
    <dxf>
      <fill>
        <patternFill>
          <bgColor theme="9" tint="0.39994506668294322"/>
        </patternFill>
      </fill>
    </dxf>
    <dxf>
      <fill>
        <patternFill>
          <bgColor rgb="FFFF7171"/>
        </patternFill>
      </fill>
    </dxf>
  </dxfs>
  <tableStyles count="0" defaultTableStyle="TableStyleMedium2" defaultPivotStyle="PivotStyleLight16"/>
  <colors>
    <mruColors>
      <color rgb="FFFF7979"/>
      <color rgb="FFFF71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8FBF2-6AE9-464B-997D-08F5236EA9B2}">
  <dimension ref="A1:G41"/>
  <sheetViews>
    <sheetView tabSelected="1" workbookViewId="0">
      <selection activeCell="I19" sqref="I19"/>
    </sheetView>
  </sheetViews>
  <sheetFormatPr defaultRowHeight="14.25" x14ac:dyDescent="0.45"/>
  <cols>
    <col min="1" max="1" width="21.06640625" bestFit="1" customWidth="1"/>
    <col min="2" max="8" width="14.19921875" bestFit="1" customWidth="1"/>
  </cols>
  <sheetData>
    <row r="1" spans="1:7" ht="16.149999999999999" thickBot="1" x14ac:dyDescent="0.55000000000000004">
      <c r="A1" s="33" t="s">
        <v>25</v>
      </c>
      <c r="B1" s="34"/>
      <c r="C1" s="34"/>
      <c r="D1" s="34"/>
      <c r="E1" s="34"/>
      <c r="F1" s="35"/>
      <c r="G1" s="36"/>
    </row>
    <row r="2" spans="1:7" ht="14.65" thickBot="1" x14ac:dyDescent="0.5">
      <c r="A2" s="20" t="s">
        <v>24</v>
      </c>
      <c r="B2" s="21"/>
      <c r="C2" s="36"/>
      <c r="D2" s="7" t="s">
        <v>3</v>
      </c>
      <c r="E2" s="8" t="s">
        <v>4</v>
      </c>
      <c r="F2" s="9" t="s">
        <v>5</v>
      </c>
      <c r="G2" s="36"/>
    </row>
    <row r="3" spans="1:7" x14ac:dyDescent="0.45">
      <c r="A3" s="29" t="s">
        <v>17</v>
      </c>
      <c r="B3" s="17">
        <v>0.06</v>
      </c>
      <c r="C3" s="3"/>
      <c r="D3" s="1">
        <v>0</v>
      </c>
      <c r="E3" s="14">
        <f>(-1*B4)</f>
        <v>-1000000</v>
      </c>
      <c r="F3" s="10">
        <f>E3/(1+$B$3)^D3</f>
        <v>-1000000</v>
      </c>
      <c r="G3" s="36"/>
    </row>
    <row r="4" spans="1:7" x14ac:dyDescent="0.45">
      <c r="A4" s="30" t="s">
        <v>18</v>
      </c>
      <c r="B4" s="18">
        <v>1000000</v>
      </c>
      <c r="C4" s="3"/>
      <c r="D4" s="1">
        <v>1</v>
      </c>
      <c r="E4" s="14">
        <f>$B$5</f>
        <v>100000</v>
      </c>
      <c r="F4" s="10">
        <f>E4/(1+$B$3)^D4</f>
        <v>94339.622641509428</v>
      </c>
      <c r="G4" s="36"/>
    </row>
    <row r="5" spans="1:7" x14ac:dyDescent="0.45">
      <c r="A5" s="30" t="s">
        <v>19</v>
      </c>
      <c r="B5" s="18">
        <v>100000</v>
      </c>
      <c r="C5" s="3"/>
      <c r="D5" s="1">
        <v>2</v>
      </c>
      <c r="E5" s="14">
        <f>$B$5</f>
        <v>100000</v>
      </c>
      <c r="F5" s="10">
        <f>E5/(1+$B$3)^D5</f>
        <v>88999.644001423978</v>
      </c>
      <c r="G5" s="36"/>
    </row>
    <row r="6" spans="1:7" ht="14.65" thickBot="1" x14ac:dyDescent="0.5">
      <c r="A6" s="31" t="s">
        <v>0</v>
      </c>
      <c r="B6" s="19">
        <v>800000</v>
      </c>
      <c r="C6" s="3"/>
      <c r="D6" s="1">
        <v>3</v>
      </c>
      <c r="E6" s="14">
        <f>$B$5</f>
        <v>100000</v>
      </c>
      <c r="F6" s="10">
        <f>E6/(1+$B$3)^D6</f>
        <v>83961.928303230161</v>
      </c>
      <c r="G6" s="36"/>
    </row>
    <row r="7" spans="1:7" x14ac:dyDescent="0.45">
      <c r="A7" s="16"/>
      <c r="B7" s="3"/>
      <c r="C7" s="3"/>
      <c r="D7" s="1">
        <v>4</v>
      </c>
      <c r="E7" s="14">
        <f>$B$5</f>
        <v>100000</v>
      </c>
      <c r="F7" s="10">
        <f>E7/(1+$B$3)^D7</f>
        <v>79209.366323802038</v>
      </c>
      <c r="G7" s="36"/>
    </row>
    <row r="8" spans="1:7" ht="14.65" thickBot="1" x14ac:dyDescent="0.5">
      <c r="A8" s="16"/>
      <c r="B8" s="3"/>
      <c r="C8" s="3"/>
      <c r="D8" s="1">
        <v>5</v>
      </c>
      <c r="E8" s="14">
        <f>$B$5</f>
        <v>100000</v>
      </c>
      <c r="F8" s="10">
        <f>E8/(1+$B$3)^D8</f>
        <v>74725.817286605685</v>
      </c>
      <c r="G8" s="36"/>
    </row>
    <row r="9" spans="1:7" ht="14.65" thickBot="1" x14ac:dyDescent="0.5">
      <c r="A9" s="20" t="s">
        <v>20</v>
      </c>
      <c r="B9" s="21"/>
      <c r="C9" s="36"/>
      <c r="D9" s="4">
        <v>6</v>
      </c>
      <c r="E9" s="15">
        <f>B6</f>
        <v>800000</v>
      </c>
      <c r="F9" s="11">
        <f>E9/(1+$B$3)^D9</f>
        <v>563968.43235174101</v>
      </c>
      <c r="G9" s="36"/>
    </row>
    <row r="10" spans="1:7" x14ac:dyDescent="0.45">
      <c r="A10" s="26" t="s">
        <v>1</v>
      </c>
      <c r="B10" s="23">
        <f>SUM(F13)</f>
        <v>-14795.189091687673</v>
      </c>
      <c r="C10" s="3"/>
      <c r="D10" s="3"/>
      <c r="E10" s="3"/>
      <c r="F10" s="2"/>
      <c r="G10" s="36"/>
    </row>
    <row r="11" spans="1:7" x14ac:dyDescent="0.45">
      <c r="A11" s="27" t="s">
        <v>2</v>
      </c>
      <c r="B11" s="22">
        <f>IRR(E3:E9)</f>
        <v>5.6624028405150462E-2</v>
      </c>
      <c r="C11" s="3"/>
      <c r="D11" s="3"/>
      <c r="E11" s="3"/>
      <c r="F11" s="2"/>
      <c r="G11" s="36"/>
    </row>
    <row r="12" spans="1:7" ht="14.65" thickBot="1" x14ac:dyDescent="0.5">
      <c r="A12" s="28" t="s">
        <v>23</v>
      </c>
      <c r="B12" s="6"/>
      <c r="C12" s="3"/>
      <c r="D12" s="3"/>
      <c r="E12" s="3"/>
      <c r="F12" s="2"/>
      <c r="G12" s="36"/>
    </row>
    <row r="13" spans="1:7" ht="14.65" thickBot="1" x14ac:dyDescent="0.5">
      <c r="A13" s="24" t="s">
        <v>21</v>
      </c>
      <c r="B13" s="25" t="str">
        <f>IF(B10&gt;0, "YES", "NO")</f>
        <v>NO</v>
      </c>
      <c r="C13" s="3"/>
      <c r="D13" s="32" t="s">
        <v>22</v>
      </c>
      <c r="E13" s="12">
        <f>SUM(E3:E9)</f>
        <v>300000</v>
      </c>
      <c r="F13" s="13">
        <f>SUM(F3:F9)</f>
        <v>-14795.189091687673</v>
      </c>
      <c r="G13" s="36"/>
    </row>
    <row r="14" spans="1:7" x14ac:dyDescent="0.45">
      <c r="A14" s="16"/>
      <c r="B14" s="3"/>
      <c r="C14" s="3"/>
      <c r="D14" s="3"/>
      <c r="E14" s="3"/>
      <c r="F14" s="2"/>
      <c r="G14" s="36"/>
    </row>
    <row r="15" spans="1:7" ht="6" customHeight="1" thickBot="1" x14ac:dyDescent="0.5">
      <c r="A15" s="37"/>
      <c r="B15" s="38"/>
      <c r="C15" s="38"/>
      <c r="D15" s="38"/>
      <c r="E15" s="38"/>
      <c r="F15" s="39"/>
      <c r="G15" s="36"/>
    </row>
    <row r="16" spans="1:7" ht="16.149999999999999" thickBot="1" x14ac:dyDescent="0.55000000000000004">
      <c r="A16" s="33" t="s">
        <v>26</v>
      </c>
      <c r="B16" s="34"/>
      <c r="C16" s="34"/>
      <c r="D16" s="34"/>
      <c r="E16" s="34"/>
      <c r="F16" s="35"/>
      <c r="G16" s="36"/>
    </row>
    <row r="17" spans="1:7" ht="14.65" thickBot="1" x14ac:dyDescent="0.5">
      <c r="A17" s="20" t="s">
        <v>27</v>
      </c>
      <c r="B17" s="32" t="s">
        <v>28</v>
      </c>
      <c r="C17" s="40" t="s">
        <v>29</v>
      </c>
      <c r="D17" s="3"/>
      <c r="E17" s="3"/>
      <c r="F17" s="2"/>
      <c r="G17" s="36"/>
    </row>
    <row r="18" spans="1:7" x14ac:dyDescent="0.45">
      <c r="A18" s="29" t="s">
        <v>17</v>
      </c>
      <c r="B18" s="17">
        <v>0.06</v>
      </c>
      <c r="C18" s="17">
        <v>0.06</v>
      </c>
      <c r="D18" s="3"/>
      <c r="E18" s="3"/>
      <c r="F18" s="2"/>
      <c r="G18" s="36"/>
    </row>
    <row r="19" spans="1:7" x14ac:dyDescent="0.45">
      <c r="A19" s="30" t="s">
        <v>18</v>
      </c>
      <c r="B19" s="18">
        <v>1000000</v>
      </c>
      <c r="C19" s="18">
        <v>1000000</v>
      </c>
      <c r="D19" s="3"/>
      <c r="E19" s="3"/>
      <c r="F19" s="2"/>
      <c r="G19" s="36"/>
    </row>
    <row r="20" spans="1:7" x14ac:dyDescent="0.45">
      <c r="A20" s="30" t="s">
        <v>19</v>
      </c>
      <c r="B20" s="18">
        <v>150000</v>
      </c>
      <c r="C20" s="18">
        <v>50000</v>
      </c>
      <c r="D20" s="3"/>
      <c r="E20" s="3"/>
      <c r="F20" s="2"/>
      <c r="G20" s="36"/>
    </row>
    <row r="21" spans="1:7" ht="14.65" thickBot="1" x14ac:dyDescent="0.5">
      <c r="A21" s="31" t="s">
        <v>0</v>
      </c>
      <c r="B21" s="19">
        <v>800000</v>
      </c>
      <c r="C21" s="19">
        <v>800000</v>
      </c>
      <c r="D21" s="3"/>
      <c r="E21" s="3"/>
      <c r="F21" s="2"/>
      <c r="G21" s="36"/>
    </row>
    <row r="22" spans="1:7" ht="14.65" thickBot="1" x14ac:dyDescent="0.5">
      <c r="A22" s="41" t="s">
        <v>30</v>
      </c>
      <c r="B22" s="42">
        <v>0.5</v>
      </c>
      <c r="C22" s="43">
        <f>1-B22</f>
        <v>0.5</v>
      </c>
      <c r="D22" s="3"/>
      <c r="E22" s="3"/>
      <c r="F22" s="2"/>
      <c r="G22" s="36"/>
    </row>
    <row r="23" spans="1:7" ht="14.65" thickBot="1" x14ac:dyDescent="0.5">
      <c r="A23" s="16"/>
      <c r="B23" s="3"/>
      <c r="C23" s="3"/>
      <c r="D23" s="3"/>
      <c r="E23" s="3"/>
      <c r="F23" s="2"/>
      <c r="G23" s="36"/>
    </row>
    <row r="24" spans="1:7" ht="14.65" thickBot="1" x14ac:dyDescent="0.5">
      <c r="A24" s="7" t="s">
        <v>3</v>
      </c>
      <c r="B24" s="8" t="s">
        <v>31</v>
      </c>
      <c r="C24" s="9" t="s">
        <v>32</v>
      </c>
      <c r="D24" s="44" t="s">
        <v>34</v>
      </c>
      <c r="E24" s="45" t="s">
        <v>35</v>
      </c>
      <c r="F24" s="2"/>
      <c r="G24" s="36"/>
    </row>
    <row r="25" spans="1:7" x14ac:dyDescent="0.45">
      <c r="A25" s="1">
        <v>0</v>
      </c>
      <c r="B25" s="14">
        <f>(-1*B19)</f>
        <v>-1000000</v>
      </c>
      <c r="C25" s="10">
        <f>B25/(1+$B$3)^A25</f>
        <v>-1000000</v>
      </c>
      <c r="D25" s="14">
        <f>(-1*C19)</f>
        <v>-1000000</v>
      </c>
      <c r="E25" s="46">
        <f>D25/(1+$B$3)^A25</f>
        <v>-1000000</v>
      </c>
      <c r="F25" s="2"/>
      <c r="G25" s="36"/>
    </row>
    <row r="26" spans="1:7" x14ac:dyDescent="0.45">
      <c r="A26" s="1">
        <v>1</v>
      </c>
      <c r="B26" s="14">
        <f>$B$20</f>
        <v>150000</v>
      </c>
      <c r="C26" s="10">
        <f>B26/(1+$B$3)^A26</f>
        <v>141509.43396226416</v>
      </c>
      <c r="D26" s="14">
        <f>$C$20</f>
        <v>50000</v>
      </c>
      <c r="E26" s="47">
        <f t="shared" ref="E26:E31" si="0">D26/(1+$B$3)^A26</f>
        <v>47169.811320754714</v>
      </c>
      <c r="F26" s="2"/>
      <c r="G26" s="36"/>
    </row>
    <row r="27" spans="1:7" x14ac:dyDescent="0.45">
      <c r="A27" s="1">
        <v>2</v>
      </c>
      <c r="B27" s="14">
        <f t="shared" ref="B27:D30" si="1">$B$20</f>
        <v>150000</v>
      </c>
      <c r="C27" s="10">
        <f>B27/(1+$B$3)^A27</f>
        <v>133499.46600213597</v>
      </c>
      <c r="D27" s="14">
        <f t="shared" ref="D27:D30" si="2">$C$20</f>
        <v>50000</v>
      </c>
      <c r="E27" s="47">
        <f t="shared" si="0"/>
        <v>44499.822000711989</v>
      </c>
      <c r="F27" s="2"/>
      <c r="G27" s="36"/>
    </row>
    <row r="28" spans="1:7" x14ac:dyDescent="0.45">
      <c r="A28" s="1">
        <v>3</v>
      </c>
      <c r="B28" s="14">
        <f t="shared" si="1"/>
        <v>150000</v>
      </c>
      <c r="C28" s="10">
        <f>B28/(1+$B$3)^A28</f>
        <v>125942.89245484525</v>
      </c>
      <c r="D28" s="14">
        <f t="shared" si="2"/>
        <v>50000</v>
      </c>
      <c r="E28" s="47">
        <f t="shared" si="0"/>
        <v>41980.96415161508</v>
      </c>
      <c r="F28" s="2"/>
      <c r="G28" s="36"/>
    </row>
    <row r="29" spans="1:7" x14ac:dyDescent="0.45">
      <c r="A29" s="1">
        <v>4</v>
      </c>
      <c r="B29" s="14">
        <f t="shared" si="1"/>
        <v>150000</v>
      </c>
      <c r="C29" s="10">
        <f>B29/(1+$B$3)^A29</f>
        <v>118814.04948570306</v>
      </c>
      <c r="D29" s="14">
        <f t="shared" si="2"/>
        <v>50000</v>
      </c>
      <c r="E29" s="47">
        <f t="shared" si="0"/>
        <v>39604.683161901019</v>
      </c>
      <c r="F29" s="2"/>
      <c r="G29" s="36"/>
    </row>
    <row r="30" spans="1:7" x14ac:dyDescent="0.45">
      <c r="A30" s="1">
        <v>5</v>
      </c>
      <c r="B30" s="14">
        <f t="shared" si="1"/>
        <v>150000</v>
      </c>
      <c r="C30" s="10">
        <f>B30/(1+$B$3)^A30</f>
        <v>112088.72592990853</v>
      </c>
      <c r="D30" s="14">
        <f t="shared" si="2"/>
        <v>50000</v>
      </c>
      <c r="E30" s="47">
        <f t="shared" si="0"/>
        <v>37362.908643302842</v>
      </c>
      <c r="F30" s="2"/>
      <c r="G30" s="36"/>
    </row>
    <row r="31" spans="1:7" ht="14.65" thickBot="1" x14ac:dyDescent="0.5">
      <c r="A31" s="4">
        <v>6</v>
      </c>
      <c r="B31" s="15">
        <f>$B$21</f>
        <v>800000</v>
      </c>
      <c r="C31" s="11">
        <f>B31/(1+$B$3)^A31</f>
        <v>563968.43235174101</v>
      </c>
      <c r="D31" s="15">
        <f>$C$21</f>
        <v>800000</v>
      </c>
      <c r="E31" s="48">
        <f t="shared" si="0"/>
        <v>563968.43235174101</v>
      </c>
      <c r="F31" s="2"/>
      <c r="G31" s="36"/>
    </row>
    <row r="32" spans="1:7" x14ac:dyDescent="0.45">
      <c r="A32" s="16"/>
      <c r="B32" s="3"/>
      <c r="C32" s="3"/>
      <c r="D32" s="3"/>
      <c r="E32" s="3"/>
      <c r="F32" s="2"/>
      <c r="G32" s="36"/>
    </row>
    <row r="33" spans="1:7" x14ac:dyDescent="0.45">
      <c r="A33" s="16"/>
      <c r="B33" s="3"/>
      <c r="C33" s="3"/>
      <c r="D33" s="3"/>
      <c r="E33" s="3"/>
      <c r="F33" s="2"/>
      <c r="G33" s="36"/>
    </row>
    <row r="34" spans="1:7" ht="14.65" thickBot="1" x14ac:dyDescent="0.5">
      <c r="A34" s="16"/>
      <c r="B34" s="3"/>
      <c r="C34" s="3"/>
      <c r="D34" s="3"/>
      <c r="E34" s="3"/>
      <c r="F34" s="2"/>
      <c r="G34" s="36"/>
    </row>
    <row r="35" spans="1:7" ht="14.65" thickBot="1" x14ac:dyDescent="0.5">
      <c r="A35" s="32" t="s">
        <v>22</v>
      </c>
      <c r="B35" s="12">
        <f>SUM(B25:B31)</f>
        <v>550000</v>
      </c>
      <c r="C35" s="13">
        <f>SUM(C25:C31)</f>
        <v>195823.00018659793</v>
      </c>
      <c r="D35" s="12">
        <f>SUM(D25:D31)</f>
        <v>50000</v>
      </c>
      <c r="E35" s="13">
        <f>SUM(E25:E31)</f>
        <v>-225413.37836997339</v>
      </c>
      <c r="F35" s="2"/>
      <c r="G35" s="36"/>
    </row>
    <row r="36" spans="1:7" ht="14.65" thickBot="1" x14ac:dyDescent="0.5">
      <c r="A36" s="16"/>
      <c r="B36" s="3"/>
      <c r="C36" s="32" t="s">
        <v>33</v>
      </c>
      <c r="D36" s="3"/>
      <c r="E36" s="40" t="s">
        <v>33</v>
      </c>
      <c r="F36" s="2"/>
      <c r="G36" s="36"/>
    </row>
    <row r="37" spans="1:7" ht="14.65" thickBot="1" x14ac:dyDescent="0.5">
      <c r="A37" s="16"/>
      <c r="B37" s="3"/>
      <c r="C37" s="3"/>
      <c r="D37" s="3"/>
      <c r="E37" s="3"/>
      <c r="F37" s="2"/>
      <c r="G37" s="36"/>
    </row>
    <row r="38" spans="1:7" ht="14.65" thickBot="1" x14ac:dyDescent="0.5">
      <c r="A38" s="49" t="s">
        <v>36</v>
      </c>
      <c r="B38" s="50">
        <f>(B22*C35)/(1+B18)</f>
        <v>92369.339710659391</v>
      </c>
      <c r="C38" s="3"/>
      <c r="D38" s="3"/>
      <c r="E38" s="3"/>
      <c r="F38" s="2"/>
      <c r="G38" s="36"/>
    </row>
    <row r="39" spans="1:7" ht="14.65" thickBot="1" x14ac:dyDescent="0.5">
      <c r="A39" s="16"/>
      <c r="B39" s="3"/>
      <c r="C39" s="3"/>
      <c r="D39" s="3"/>
      <c r="E39" s="3"/>
      <c r="F39" s="2"/>
      <c r="G39" s="36"/>
    </row>
    <row r="40" spans="1:7" ht="14.65" thickBot="1" x14ac:dyDescent="0.5">
      <c r="A40" s="49" t="s">
        <v>37</v>
      </c>
      <c r="B40" s="50">
        <f>B38-E35</f>
        <v>317782.7180806328</v>
      </c>
      <c r="C40" s="5"/>
      <c r="D40" s="5"/>
      <c r="E40" s="5"/>
      <c r="F40" s="6"/>
      <c r="G40" s="36"/>
    </row>
    <row r="41" spans="1:7" x14ac:dyDescent="0.45">
      <c r="G41" s="36"/>
    </row>
  </sheetData>
  <conditionalFormatting sqref="B13">
    <cfRule type="expression" dxfId="1" priority="1">
      <formula>$B$13 = "NO"</formula>
    </cfRule>
    <cfRule type="expression" dxfId="0" priority="3">
      <formula>$B$13 = "YES"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FC613-F5B0-4962-8816-ABE79ECA28CE}">
  <dimension ref="A1:C16"/>
  <sheetViews>
    <sheetView workbookViewId="0">
      <selection activeCell="N9" sqref="N9"/>
    </sheetView>
  </sheetViews>
  <sheetFormatPr defaultRowHeight="14.25" x14ac:dyDescent="0.45"/>
  <sheetData>
    <row r="1" spans="1:3" x14ac:dyDescent="0.45">
      <c r="A1" t="s">
        <v>6</v>
      </c>
    </row>
    <row r="2" spans="1:3" x14ac:dyDescent="0.45">
      <c r="A2" t="s">
        <v>7</v>
      </c>
    </row>
    <row r="3" spans="1:3" x14ac:dyDescent="0.45">
      <c r="A3" t="s">
        <v>8</v>
      </c>
    </row>
    <row r="4" spans="1:3" x14ac:dyDescent="0.45">
      <c r="A4" t="s">
        <v>9</v>
      </c>
    </row>
    <row r="5" spans="1:3" x14ac:dyDescent="0.45">
      <c r="A5" t="s">
        <v>10</v>
      </c>
    </row>
    <row r="6" spans="1:3" x14ac:dyDescent="0.45">
      <c r="A6" t="s">
        <v>11</v>
      </c>
    </row>
    <row r="7" spans="1:3" x14ac:dyDescent="0.45">
      <c r="A7" t="s">
        <v>12</v>
      </c>
    </row>
    <row r="8" spans="1:3" x14ac:dyDescent="0.45">
      <c r="A8" t="s">
        <v>13</v>
      </c>
    </row>
    <row r="10" spans="1:3" x14ac:dyDescent="0.45">
      <c r="A10" t="s">
        <v>14</v>
      </c>
    </row>
    <row r="12" spans="1:3" x14ac:dyDescent="0.45">
      <c r="A12" t="s">
        <v>15</v>
      </c>
    </row>
    <row r="16" spans="1:3" x14ac:dyDescent="0.45">
      <c r="C16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Q1 - CALCULATOR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Nate Pedigo</dc:creator>
  <cp:lastModifiedBy>Nate Pedigo</cp:lastModifiedBy>
  <dcterms:created xsi:type="dcterms:W3CDTF">2025-11-04T17:05:00Z</dcterms:created>
  <dcterms:modified xsi:type="dcterms:W3CDTF">2025-11-04T19:29:52Z</dcterms:modified>
</cp:coreProperties>
</file>